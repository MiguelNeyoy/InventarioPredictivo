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75755a73494a4f/Documentos/04- PCYLAP/"/>
    </mc:Choice>
  </mc:AlternateContent>
  <xr:revisionPtr revIDLastSave="190" documentId="13_ncr:1_{6A25AD14-C064-4952-AB66-66DAAE267806}" xr6:coauthVersionLast="47" xr6:coauthVersionMax="47" xr10:uidLastSave="{1C6DFC85-480B-42F3-80F4-C088366A20EC}"/>
  <bookViews>
    <workbookView xWindow="-120" yWindow="-120" windowWidth="29040" windowHeight="15840" firstSheet="30" activeTab="37" xr2:uid="{00000000-000D-0000-FFFF-FFFF00000000}"/>
  </bookViews>
  <sheets>
    <sheet name="Enero 2023" sheetId="1" r:id="rId1"/>
    <sheet name="Febrero 2023" sheetId="2" r:id="rId2"/>
    <sheet name="Marzo 2023" sheetId="3" r:id="rId3"/>
    <sheet name="Abril 2023" sheetId="4" r:id="rId4"/>
    <sheet name="Junio 2023" sheetId="5" r:id="rId5"/>
    <sheet name="Julio 2023" sheetId="6" r:id="rId6"/>
    <sheet name="Agosto 2023" sheetId="7" r:id="rId7"/>
    <sheet name="Septiembre 2023" sheetId="8" r:id="rId8"/>
    <sheet name="Octubre 2023" sheetId="9" r:id="rId9"/>
    <sheet name="Noviembre 2023" sheetId="10" r:id="rId10"/>
    <sheet name="Diciembre 2023" sheetId="11" r:id="rId11"/>
    <sheet name="Enero 2024" sheetId="12" r:id="rId12"/>
    <sheet name="Febrero 2024" sheetId="14" r:id="rId13"/>
    <sheet name="Marzo 2024" sheetId="15" r:id="rId14"/>
    <sheet name="Abril 2024" sheetId="16" r:id="rId15"/>
    <sheet name="Mayo 2024" sheetId="17" r:id="rId16"/>
    <sheet name="Junio 2024" sheetId="18" r:id="rId17"/>
    <sheet name="Julio 2024" sheetId="19" r:id="rId18"/>
    <sheet name="Agosto 2024" sheetId="20" r:id="rId19"/>
    <sheet name="Septiembre 2024" sheetId="21" r:id="rId20"/>
    <sheet name="Octubre 2024" sheetId="22" r:id="rId21"/>
    <sheet name="Noviembre 2024" sheetId="23" r:id="rId22"/>
    <sheet name="Diciembre 2024" sheetId="24" r:id="rId23"/>
    <sheet name="Enero 2025" sheetId="25" r:id="rId24"/>
    <sheet name="FEBRERO 2025" sheetId="26" r:id="rId25"/>
    <sheet name="Marzo 2025" sheetId="27" r:id="rId26"/>
    <sheet name="Abril 2025" sheetId="28" r:id="rId27"/>
    <sheet name="Mayo 2025" sheetId="29" r:id="rId28"/>
    <sheet name="Junio 2025" sheetId="30" r:id="rId29"/>
    <sheet name="Julio 2025" sheetId="31" r:id="rId30"/>
    <sheet name="Agosto 2025" sheetId="32" r:id="rId31"/>
    <sheet name="Septiembre 2025" sheetId="33" r:id="rId32"/>
    <sheet name="Octubre 2025" sheetId="34" r:id="rId33"/>
    <sheet name="Noviembre 2025" sheetId="35" r:id="rId34"/>
    <sheet name="Diciembre 2025" sheetId="36" r:id="rId35"/>
    <sheet name="Enero 2026" sheetId="37" r:id="rId36"/>
    <sheet name="Febrero 2026" sheetId="38" r:id="rId37"/>
    <sheet name="Marzo 2026" sheetId="39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9" i="39" l="1"/>
  <c r="K12" i="39"/>
  <c r="K11" i="39"/>
  <c r="K10" i="39"/>
  <c r="K9" i="39"/>
  <c r="K8" i="39"/>
  <c r="K7" i="39"/>
  <c r="K6" i="39"/>
  <c r="K5" i="39"/>
  <c r="K4" i="39"/>
  <c r="K12" i="38"/>
  <c r="K9" i="38"/>
  <c r="K11" i="38"/>
  <c r="K10" i="38"/>
  <c r="K8" i="38"/>
  <c r="K7" i="38"/>
  <c r="E7" i="38"/>
  <c r="K6" i="38"/>
  <c r="K5" i="38"/>
  <c r="K29" i="38"/>
  <c r="K4" i="38"/>
  <c r="K17" i="37"/>
  <c r="K16" i="37" l="1"/>
  <c r="K15" i="37"/>
  <c r="K14" i="37"/>
  <c r="K13" i="37"/>
  <c r="K12" i="37"/>
  <c r="K11" i="37" l="1"/>
  <c r="K10" i="37"/>
  <c r="K9" i="37"/>
  <c r="K8" i="37" l="1"/>
  <c r="K7" i="37"/>
  <c r="K6" i="37"/>
  <c r="K5" i="37"/>
  <c r="K29" i="37"/>
  <c r="K21" i="37"/>
  <c r="K20" i="37"/>
  <c r="K19" i="37"/>
  <c r="K18" i="37"/>
  <c r="K4" i="37"/>
  <c r="K14" i="36"/>
  <c r="K13" i="36"/>
  <c r="K12" i="36"/>
  <c r="K11" i="36"/>
  <c r="K10" i="36"/>
  <c r="K9" i="36"/>
  <c r="K6" i="36"/>
  <c r="K8" i="36"/>
  <c r="K7" i="36"/>
  <c r="E7" i="36"/>
  <c r="I6" i="36"/>
  <c r="K5" i="36"/>
  <c r="K30" i="36"/>
  <c r="K22" i="36"/>
  <c r="K21" i="36"/>
  <c r="K20" i="36"/>
  <c r="K19" i="36"/>
  <c r="K18" i="36"/>
  <c r="K17" i="36"/>
  <c r="K16" i="36"/>
  <c r="K15" i="36"/>
  <c r="K4" i="36"/>
  <c r="E12" i="35"/>
  <c r="K12" i="35" s="1"/>
  <c r="K11" i="35"/>
  <c r="K30" i="35"/>
  <c r="K22" i="35"/>
  <c r="K21" i="35"/>
  <c r="K20" i="35"/>
  <c r="K19" i="35"/>
  <c r="K18" i="35"/>
  <c r="K17" i="35"/>
  <c r="K16" i="35"/>
  <c r="K15" i="35"/>
  <c r="K14" i="35"/>
  <c r="K10" i="35"/>
  <c r="K9" i="35"/>
  <c r="K8" i="35"/>
  <c r="K7" i="35"/>
  <c r="K6" i="35"/>
  <c r="K5" i="35"/>
  <c r="K4" i="35"/>
  <c r="K22" i="34"/>
  <c r="K21" i="34"/>
  <c r="K20" i="34"/>
  <c r="K19" i="34"/>
  <c r="K18" i="34"/>
  <c r="K17" i="34"/>
  <c r="K16" i="34"/>
  <c r="K15" i="34"/>
  <c r="K14" i="34"/>
  <c r="K13" i="34"/>
  <c r="K12" i="34"/>
  <c r="K6" i="34"/>
  <c r="E6" i="34"/>
  <c r="I10" i="34"/>
  <c r="K10" i="34" s="1"/>
  <c r="K9" i="34"/>
  <c r="K8" i="34" l="1"/>
  <c r="K7" i="34"/>
  <c r="K5" i="34"/>
  <c r="K30" i="34"/>
  <c r="K4" i="34"/>
  <c r="K25" i="33"/>
  <c r="K24" i="33"/>
  <c r="I22" i="33"/>
  <c r="K22" i="33" s="1"/>
  <c r="K21" i="33"/>
  <c r="I18" i="33"/>
  <c r="K18" i="33" s="1"/>
  <c r="H38" i="32"/>
  <c r="K12" i="33"/>
  <c r="E34" i="32"/>
  <c r="K34" i="32" s="1"/>
  <c r="K32" i="33"/>
  <c r="K31" i="33"/>
  <c r="K30" i="33"/>
  <c r="K29" i="33"/>
  <c r="K28" i="33"/>
  <c r="K27" i="33"/>
  <c r="K26" i="33"/>
  <c r="K23" i="33"/>
  <c r="K20" i="33"/>
  <c r="K19" i="33"/>
  <c r="K17" i="33"/>
  <c r="K16" i="33"/>
  <c r="K15" i="33"/>
  <c r="K14" i="33"/>
  <c r="K13" i="33"/>
  <c r="K11" i="33"/>
  <c r="K10" i="33"/>
  <c r="K9" i="33"/>
  <c r="K8" i="33"/>
  <c r="K7" i="33"/>
  <c r="K6" i="33"/>
  <c r="K5" i="33"/>
  <c r="K4" i="33"/>
  <c r="K33" i="32"/>
  <c r="K32" i="32"/>
  <c r="K31" i="32"/>
  <c r="E30" i="32"/>
  <c r="K30" i="32" s="1"/>
  <c r="K29" i="32"/>
  <c r="K28" i="32"/>
  <c r="K23" i="32"/>
  <c r="K22" i="32"/>
  <c r="K20" i="32"/>
  <c r="K19" i="32"/>
  <c r="K27" i="32"/>
  <c r="K26" i="32"/>
  <c r="K25" i="32"/>
  <c r="K24" i="32"/>
  <c r="K21" i="32"/>
  <c r="K18" i="32"/>
  <c r="K17" i="32"/>
  <c r="K16" i="32"/>
  <c r="K15" i="32"/>
  <c r="K14" i="32"/>
  <c r="K13" i="32"/>
  <c r="K12" i="32"/>
  <c r="K11" i="32"/>
  <c r="K10" i="32"/>
  <c r="K9" i="32"/>
  <c r="K8" i="32"/>
  <c r="K7" i="32"/>
  <c r="K6" i="32"/>
  <c r="K5" i="32"/>
  <c r="K4" i="32"/>
  <c r="K27" i="31" l="1"/>
  <c r="E26" i="31"/>
  <c r="K26" i="31" s="1"/>
  <c r="K25" i="31"/>
  <c r="K24" i="31"/>
  <c r="K23" i="31"/>
  <c r="K22" i="31"/>
  <c r="E21" i="31"/>
  <c r="K21" i="31" s="1"/>
  <c r="K20" i="31"/>
  <c r="K19" i="31"/>
  <c r="K18" i="31"/>
  <c r="K17" i="31"/>
  <c r="K16" i="31"/>
  <c r="K20" i="30"/>
  <c r="K13" i="31"/>
  <c r="K11" i="31"/>
  <c r="K8" i="31"/>
  <c r="K7" i="31"/>
  <c r="K6" i="31"/>
  <c r="K15" i="31"/>
  <c r="K14" i="31"/>
  <c r="K12" i="31"/>
  <c r="K10" i="31"/>
  <c r="K9" i="31"/>
  <c r="K5" i="31"/>
  <c r="K4" i="31"/>
  <c r="K21" i="30"/>
  <c r="K19" i="30"/>
  <c r="K18" i="30"/>
  <c r="E17" i="30"/>
  <c r="K17" i="30" s="1"/>
  <c r="K16" i="30"/>
  <c r="K15" i="30"/>
  <c r="K12" i="30"/>
  <c r="K14" i="30"/>
  <c r="K13" i="30"/>
  <c r="K11" i="30"/>
  <c r="K10" i="30" l="1"/>
  <c r="K9" i="30"/>
  <c r="K8" i="30"/>
  <c r="K7" i="30"/>
  <c r="K6" i="30"/>
  <c r="K5" i="30"/>
  <c r="K4" i="30"/>
  <c r="K22" i="29"/>
  <c r="K21" i="29"/>
  <c r="K20" i="29"/>
  <c r="K19" i="29"/>
  <c r="K18" i="29" l="1"/>
  <c r="K17" i="29"/>
  <c r="K16" i="29"/>
  <c r="K15" i="29"/>
  <c r="K14" i="29"/>
  <c r="K13" i="29"/>
  <c r="K12" i="29"/>
  <c r="K11" i="29" l="1"/>
  <c r="K10" i="29"/>
  <c r="K9" i="29"/>
  <c r="K8" i="29"/>
  <c r="K7" i="29"/>
  <c r="K6" i="29"/>
  <c r="E4" i="29"/>
  <c r="K4" i="29" s="1"/>
  <c r="K5" i="29"/>
  <c r="K16" i="28"/>
  <c r="K15" i="28"/>
  <c r="K14" i="28"/>
  <c r="I13" i="28"/>
  <c r="K13" i="28" s="1"/>
  <c r="K12" i="28"/>
  <c r="K11" i="28"/>
  <c r="K10" i="28"/>
  <c r="K9" i="28"/>
  <c r="K8" i="28"/>
  <c r="K7" i="28"/>
  <c r="K6" i="28"/>
  <c r="K5" i="28"/>
  <c r="K4" i="28"/>
  <c r="K8" i="27"/>
  <c r="K7" i="27"/>
  <c r="K6" i="27"/>
  <c r="K5" i="27" l="1"/>
  <c r="K4" i="27"/>
  <c r="K13" i="26"/>
  <c r="K12" i="26"/>
  <c r="K11" i="26"/>
  <c r="K10" i="26"/>
  <c r="K9" i="26"/>
  <c r="K8" i="26"/>
  <c r="K7" i="26"/>
  <c r="E6" i="26"/>
  <c r="K6" i="26" s="1"/>
  <c r="K5" i="26"/>
  <c r="E35" i="26"/>
  <c r="K4" i="26"/>
  <c r="I28" i="25"/>
  <c r="K28" i="25" s="1"/>
  <c r="K26" i="25" l="1"/>
  <c r="K27" i="25"/>
  <c r="K25" i="25"/>
  <c r="K24" i="25"/>
  <c r="E35" i="25"/>
  <c r="K21" i="25" l="1"/>
  <c r="K23" i="25" l="1"/>
  <c r="K22" i="25"/>
  <c r="K20" i="25"/>
  <c r="K19" i="25"/>
  <c r="K18" i="25"/>
  <c r="K17" i="25"/>
  <c r="K16" i="25"/>
  <c r="K15" i="25"/>
  <c r="K14" i="25"/>
  <c r="K13" i="25"/>
  <c r="K11" i="25"/>
  <c r="K12" i="25" l="1"/>
  <c r="K10" i="25"/>
  <c r="K9" i="25"/>
  <c r="K8" i="25"/>
  <c r="K7" i="25"/>
  <c r="K6" i="25" l="1"/>
  <c r="K5" i="25"/>
  <c r="K4" i="25"/>
  <c r="K13" i="24"/>
  <c r="K12" i="24"/>
  <c r="K11" i="24"/>
  <c r="K10" i="24"/>
  <c r="I9" i="24"/>
  <c r="K9" i="24" s="1"/>
  <c r="K8" i="24"/>
  <c r="K7" i="24"/>
  <c r="K4" i="24"/>
  <c r="K23" i="23"/>
  <c r="K22" i="23"/>
  <c r="K21" i="23" l="1"/>
  <c r="K20" i="23"/>
  <c r="K19" i="23" l="1"/>
  <c r="K18" i="23"/>
  <c r="K17" i="23"/>
  <c r="K16" i="23"/>
  <c r="K15" i="23"/>
  <c r="K14" i="23"/>
  <c r="E13" i="23"/>
  <c r="K13" i="23" s="1"/>
  <c r="K12" i="23"/>
  <c r="K11" i="23"/>
  <c r="K10" i="23"/>
  <c r="K9" i="23"/>
  <c r="K8" i="23" l="1"/>
  <c r="K7" i="23"/>
  <c r="K6" i="23"/>
  <c r="K5" i="23"/>
  <c r="K4" i="23"/>
  <c r="K13" i="22"/>
  <c r="K12" i="22"/>
  <c r="K11" i="22"/>
  <c r="K10" i="22"/>
  <c r="K9" i="22"/>
  <c r="E8" i="22"/>
  <c r="K8" i="22" s="1"/>
  <c r="K7" i="22" l="1"/>
  <c r="I6" i="22" l="1"/>
  <c r="K6" i="22" s="1"/>
  <c r="K5" i="22"/>
  <c r="K4" i="22"/>
  <c r="K27" i="21"/>
  <c r="K26" i="21"/>
  <c r="E16" i="21"/>
  <c r="K25" i="21" l="1"/>
  <c r="K24" i="21"/>
  <c r="K23" i="21"/>
  <c r="K22" i="21"/>
  <c r="K21" i="21"/>
  <c r="K20" i="21"/>
  <c r="K19" i="21"/>
  <c r="K18" i="21" l="1"/>
  <c r="K17" i="21"/>
  <c r="K16" i="21"/>
  <c r="K15" i="21"/>
  <c r="K14" i="21"/>
  <c r="K13" i="21"/>
  <c r="K12" i="21"/>
  <c r="K11" i="21"/>
  <c r="K10" i="21"/>
  <c r="K8" i="21"/>
  <c r="K9" i="21"/>
  <c r="K7" i="21"/>
  <c r="K6" i="21"/>
  <c r="K5" i="21"/>
  <c r="K4" i="21"/>
  <c r="K44" i="20"/>
  <c r="K43" i="20"/>
  <c r="K42" i="20"/>
  <c r="K41" i="20" l="1"/>
  <c r="K40" i="20"/>
  <c r="K39" i="20"/>
  <c r="K38" i="20"/>
  <c r="K37" i="20"/>
  <c r="K36" i="20"/>
  <c r="K35" i="20"/>
  <c r="K34" i="20"/>
  <c r="K33" i="20"/>
  <c r="K32" i="20"/>
  <c r="K31" i="20"/>
  <c r="K30" i="20" l="1"/>
  <c r="K29" i="20"/>
  <c r="C45" i="19"/>
  <c r="K28" i="20" l="1"/>
  <c r="K27" i="20"/>
  <c r="K26" i="20" l="1"/>
  <c r="K25" i="20"/>
  <c r="K24" i="20"/>
  <c r="K23" i="20"/>
  <c r="K22" i="20" l="1"/>
  <c r="K20" i="20"/>
  <c r="K21" i="20"/>
  <c r="K19" i="20"/>
  <c r="K18" i="20"/>
  <c r="K17" i="20"/>
  <c r="K16" i="20" l="1"/>
  <c r="K15" i="20"/>
  <c r="K14" i="20"/>
  <c r="K13" i="20"/>
  <c r="K12" i="20"/>
  <c r="E11" i="20"/>
  <c r="K11" i="20" s="1"/>
  <c r="K10" i="20"/>
  <c r="K9" i="20"/>
  <c r="K8" i="20" l="1"/>
  <c r="K7" i="20"/>
  <c r="K6" i="20"/>
  <c r="I5" i="20"/>
  <c r="K5" i="20" s="1"/>
  <c r="K4" i="20"/>
  <c r="K25" i="19"/>
  <c r="E23" i="19"/>
  <c r="E22" i="19"/>
  <c r="K19" i="19"/>
  <c r="K18" i="19"/>
  <c r="K17" i="19"/>
  <c r="K16" i="19"/>
  <c r="K15" i="19" l="1"/>
  <c r="I14" i="19"/>
  <c r="E14" i="19"/>
  <c r="K13" i="19"/>
  <c r="K12" i="19"/>
  <c r="K14" i="19" l="1"/>
  <c r="K11" i="19"/>
  <c r="K10" i="19" l="1"/>
  <c r="K9" i="19"/>
  <c r="K8" i="19"/>
  <c r="K7" i="19" l="1"/>
  <c r="K6" i="19"/>
  <c r="K5" i="19"/>
  <c r="K24" i="19"/>
  <c r="K23" i="19"/>
  <c r="K22" i="19"/>
  <c r="K21" i="19"/>
  <c r="K20" i="19"/>
  <c r="K4" i="19"/>
  <c r="K21" i="18"/>
  <c r="K20" i="18"/>
  <c r="K19" i="18" l="1"/>
  <c r="K18" i="18"/>
  <c r="E17" i="18"/>
  <c r="K17" i="18" s="1"/>
  <c r="K16" i="18"/>
  <c r="K15" i="18"/>
  <c r="K14" i="18"/>
  <c r="K13" i="18" l="1"/>
  <c r="K12" i="18"/>
  <c r="K11" i="18"/>
  <c r="K10" i="18"/>
  <c r="K9" i="18"/>
  <c r="E8" i="18" l="1"/>
  <c r="K8" i="18" s="1"/>
  <c r="K7" i="18"/>
  <c r="I6" i="18"/>
  <c r="E6" i="18"/>
  <c r="K5" i="18"/>
  <c r="K4" i="18"/>
  <c r="K24" i="17"/>
  <c r="K23" i="17"/>
  <c r="K6" i="18" l="1"/>
  <c r="K22" i="17"/>
  <c r="K21" i="17"/>
  <c r="K20" i="17"/>
  <c r="K19" i="17"/>
  <c r="K18" i="17"/>
  <c r="K17" i="17"/>
  <c r="K16" i="17"/>
  <c r="K15" i="17"/>
  <c r="K14" i="17"/>
  <c r="E13" i="17"/>
  <c r="K13" i="17" s="1"/>
  <c r="K12" i="17" l="1"/>
  <c r="K11" i="17" l="1"/>
  <c r="K10" i="17" l="1"/>
  <c r="K9" i="17"/>
  <c r="K8" i="17"/>
  <c r="K7" i="17"/>
  <c r="K6" i="17" l="1"/>
  <c r="K5" i="17"/>
  <c r="K4" i="17"/>
  <c r="K34" i="17"/>
  <c r="K33" i="17"/>
  <c r="K32" i="17"/>
  <c r="K31" i="17"/>
  <c r="K30" i="17"/>
  <c r="K29" i="17"/>
  <c r="K28" i="17"/>
  <c r="K22" i="16"/>
  <c r="K21" i="16"/>
  <c r="K20" i="16"/>
  <c r="K19" i="16"/>
  <c r="K18" i="16"/>
  <c r="K17" i="16" l="1"/>
  <c r="K16" i="16"/>
  <c r="K15" i="16"/>
  <c r="I9" i="16"/>
  <c r="K9" i="16" s="1"/>
  <c r="K14" i="16"/>
  <c r="K13" i="16"/>
  <c r="K12" i="16"/>
  <c r="E11" i="16" l="1"/>
  <c r="K11" i="16" s="1"/>
  <c r="K10" i="16" l="1"/>
  <c r="K8" i="16"/>
  <c r="K7" i="16" l="1"/>
  <c r="K6" i="16"/>
  <c r="K5" i="16"/>
  <c r="K34" i="16"/>
  <c r="K33" i="16"/>
  <c r="K32" i="16"/>
  <c r="K31" i="16"/>
  <c r="K30" i="16"/>
  <c r="K29" i="16"/>
  <c r="K28" i="16"/>
  <c r="K4" i="16"/>
  <c r="K24" i="15"/>
  <c r="E23" i="15"/>
  <c r="K23" i="15" s="1"/>
  <c r="K22" i="15" l="1"/>
  <c r="K21" i="15"/>
  <c r="K20" i="15" l="1"/>
  <c r="K19" i="15"/>
  <c r="E18" i="15"/>
  <c r="K15" i="15" l="1"/>
  <c r="K6" i="15"/>
  <c r="K33" i="15" l="1"/>
  <c r="K32" i="15"/>
  <c r="K31" i="15"/>
  <c r="K30" i="15"/>
  <c r="K29" i="15"/>
  <c r="K28" i="15"/>
  <c r="K27" i="15"/>
  <c r="K18" i="15"/>
  <c r="K17" i="15"/>
  <c r="K16" i="15"/>
  <c r="K14" i="15"/>
  <c r="K13" i="15"/>
  <c r="K12" i="15"/>
  <c r="K11" i="15"/>
  <c r="K10" i="15"/>
  <c r="K9" i="15"/>
  <c r="K8" i="15"/>
  <c r="K7" i="15"/>
  <c r="K5" i="15"/>
  <c r="K4" i="15"/>
  <c r="K26" i="14"/>
  <c r="I20" i="14"/>
  <c r="K20" i="14" s="1"/>
  <c r="I10" i="14"/>
  <c r="E10" i="14"/>
  <c r="K33" i="14"/>
  <c r="K32" i="14"/>
  <c r="K31" i="14"/>
  <c r="K30" i="14"/>
  <c r="K29" i="14"/>
  <c r="K28" i="14"/>
  <c r="K27" i="14"/>
  <c r="K23" i="14"/>
  <c r="K22" i="14"/>
  <c r="K21" i="14"/>
  <c r="K19" i="14"/>
  <c r="K18" i="14"/>
  <c r="K17" i="14"/>
  <c r="K16" i="14"/>
  <c r="K15" i="14"/>
  <c r="K14" i="14"/>
  <c r="K13" i="14"/>
  <c r="K12" i="14"/>
  <c r="K11" i="14"/>
  <c r="K9" i="14"/>
  <c r="K8" i="14"/>
  <c r="K7" i="14"/>
  <c r="K6" i="14"/>
  <c r="K5" i="14"/>
  <c r="K4" i="14"/>
  <c r="K39" i="12"/>
  <c r="K38" i="12"/>
  <c r="K37" i="12"/>
  <c r="K36" i="12"/>
  <c r="K35" i="12"/>
  <c r="K34" i="12"/>
  <c r="I24" i="14" l="1"/>
  <c r="K24" i="14" s="1"/>
  <c r="K10" i="14"/>
  <c r="I33" i="12"/>
  <c r="K33" i="12" s="1"/>
  <c r="I25" i="14" l="1"/>
  <c r="K25" i="14" s="1"/>
  <c r="K32" i="12"/>
  <c r="K31" i="12" l="1"/>
  <c r="K30" i="12"/>
  <c r="K23" i="12" l="1"/>
  <c r="K22" i="12" l="1"/>
  <c r="K21" i="12" l="1"/>
  <c r="K20" i="12" l="1"/>
  <c r="C53" i="12"/>
  <c r="K19" i="12" l="1"/>
  <c r="K18" i="12"/>
  <c r="K17" i="12"/>
  <c r="K16" i="12"/>
  <c r="K15" i="12" l="1"/>
  <c r="K14" i="12" l="1"/>
  <c r="K8" i="12"/>
  <c r="K13" i="12"/>
  <c r="K12" i="12" l="1"/>
  <c r="K11" i="12" l="1"/>
  <c r="K10" i="12" l="1"/>
  <c r="K9" i="12" l="1"/>
  <c r="E7" i="12" l="1"/>
  <c r="K7" i="12" s="1"/>
  <c r="K6" i="12"/>
  <c r="K5" i="12"/>
  <c r="K29" i="12" l="1"/>
  <c r="K28" i="12"/>
  <c r="K27" i="12"/>
  <c r="K26" i="12"/>
  <c r="K25" i="12"/>
  <c r="K24" i="12"/>
  <c r="K4" i="12"/>
  <c r="K13" i="11" l="1"/>
  <c r="C44" i="11" l="1"/>
  <c r="K12" i="11"/>
  <c r="K11" i="11" l="1"/>
  <c r="K10" i="11"/>
  <c r="K9" i="11"/>
  <c r="K8" i="11"/>
  <c r="K7" i="11" l="1"/>
  <c r="K6" i="11" l="1"/>
  <c r="K5" i="11"/>
  <c r="K4" i="11"/>
  <c r="K28" i="11"/>
  <c r="K27" i="11"/>
  <c r="K26" i="11"/>
  <c r="K25" i="11"/>
  <c r="K24" i="11"/>
  <c r="K23" i="11"/>
  <c r="K21" i="10" l="1"/>
  <c r="K20" i="10" l="1"/>
  <c r="K19" i="10" l="1"/>
  <c r="I14" i="10" l="1"/>
  <c r="E11" i="10" l="1"/>
  <c r="E4" i="10" l="1"/>
  <c r="M29" i="9" l="1"/>
  <c r="K28" i="10" l="1"/>
  <c r="K27" i="10"/>
  <c r="K26" i="10"/>
  <c r="K25" i="10"/>
  <c r="K24" i="10"/>
  <c r="K23" i="10"/>
  <c r="K22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M28" i="9"/>
  <c r="M27" i="9" l="1"/>
  <c r="M26" i="9"/>
  <c r="M25" i="9" l="1"/>
  <c r="M24" i="9" l="1"/>
  <c r="M23" i="9" l="1"/>
  <c r="M22" i="9" l="1"/>
  <c r="M21" i="9"/>
  <c r="E20" i="9" l="1"/>
  <c r="M20" i="9" s="1"/>
  <c r="M19" i="9" l="1"/>
  <c r="M18" i="9"/>
  <c r="M16" i="9" l="1"/>
  <c r="M12" i="9" l="1"/>
  <c r="M9" i="9" l="1"/>
  <c r="M8" i="9" l="1"/>
  <c r="M6" i="9" l="1"/>
  <c r="M17" i="9"/>
  <c r="M15" i="9"/>
  <c r="M14" i="9"/>
  <c r="M13" i="9"/>
  <c r="M11" i="9"/>
  <c r="M10" i="9"/>
  <c r="M7" i="9"/>
  <c r="M5" i="9"/>
  <c r="M4" i="9"/>
  <c r="E26" i="8" l="1"/>
  <c r="M26" i="8" s="1"/>
  <c r="M25" i="8" l="1"/>
  <c r="M24" i="8" l="1"/>
  <c r="M23" i="8"/>
  <c r="M22" i="8" l="1"/>
  <c r="M21" i="8"/>
  <c r="E20" i="8" l="1"/>
  <c r="M20" i="8" s="1"/>
  <c r="M19" i="8" l="1"/>
  <c r="M18" i="8" l="1"/>
  <c r="M17" i="8" l="1"/>
  <c r="M16" i="8"/>
  <c r="M15" i="8" l="1"/>
  <c r="M14" i="8"/>
  <c r="K21" i="7" l="1"/>
  <c r="M13" i="8" l="1"/>
  <c r="M12" i="8" l="1"/>
  <c r="M11" i="8" l="1"/>
  <c r="M10" i="8" l="1"/>
  <c r="M9" i="8"/>
  <c r="M8" i="8" l="1"/>
  <c r="E7" i="8" l="1"/>
  <c r="M7" i="8" s="1"/>
  <c r="M6" i="8" l="1"/>
  <c r="M5" i="8" l="1"/>
  <c r="M4" i="8"/>
  <c r="C52" i="8"/>
  <c r="M31" i="7" l="1"/>
  <c r="K30" i="7" l="1"/>
  <c r="M30" i="7" s="1"/>
  <c r="K29" i="7"/>
  <c r="M29" i="7" s="1"/>
  <c r="M28" i="7" l="1"/>
  <c r="M27" i="7"/>
  <c r="M26" i="7" l="1"/>
  <c r="M25" i="7" l="1"/>
  <c r="M24" i="7" l="1"/>
  <c r="M23" i="7" l="1"/>
  <c r="M22" i="7" l="1"/>
  <c r="M21" i="7" l="1"/>
  <c r="M20" i="7" l="1"/>
  <c r="M19" i="7" l="1"/>
  <c r="M16" i="7" l="1"/>
  <c r="M15" i="7"/>
  <c r="M18" i="7" l="1"/>
  <c r="M17" i="7" l="1"/>
  <c r="E11" i="7" l="1"/>
  <c r="K14" i="7"/>
  <c r="M14" i="7" s="1"/>
  <c r="M13" i="7" l="1"/>
  <c r="M12" i="7" l="1"/>
  <c r="M11" i="7" l="1"/>
  <c r="C43" i="7"/>
  <c r="M10" i="7"/>
  <c r="M9" i="7"/>
  <c r="C29" i="6" l="1"/>
  <c r="M8" i="7" l="1"/>
  <c r="M7" i="7" l="1"/>
  <c r="M6" i="7"/>
  <c r="M5" i="7"/>
  <c r="M4" i="7"/>
  <c r="H23" i="6" l="1"/>
  <c r="E11" i="6" l="1"/>
  <c r="E12" i="6"/>
  <c r="H21" i="6" l="1"/>
  <c r="M13" i="6"/>
  <c r="M12" i="6" l="1"/>
  <c r="M11" i="6"/>
  <c r="M10" i="6" l="1"/>
  <c r="C40" i="6" s="1"/>
  <c r="H24" i="6" s="1"/>
  <c r="H26" i="6" s="1"/>
  <c r="H28" i="6" s="1"/>
  <c r="M9" i="6" l="1"/>
  <c r="M8" i="6" l="1"/>
  <c r="M7" i="6"/>
  <c r="M6" i="6" l="1"/>
  <c r="M5" i="6"/>
  <c r="M4" i="6"/>
  <c r="M16" i="5" l="1"/>
  <c r="M15" i="5" l="1"/>
  <c r="M14" i="5" l="1"/>
  <c r="M13" i="5" l="1"/>
  <c r="M12" i="5"/>
  <c r="M11" i="5"/>
  <c r="E10" i="5"/>
  <c r="M10" i="5" s="1"/>
  <c r="M9" i="5"/>
  <c r="M8" i="5"/>
  <c r="M7" i="5" l="1"/>
  <c r="M6" i="5" l="1"/>
  <c r="K5" i="5" l="1"/>
  <c r="M5" i="5" s="1"/>
  <c r="M4" i="5"/>
  <c r="M9" i="4" l="1"/>
  <c r="M8" i="4"/>
  <c r="M7" i="4" l="1"/>
  <c r="M6" i="4"/>
  <c r="K5" i="4" l="1"/>
  <c r="M5" i="4" s="1"/>
  <c r="M4" i="4"/>
  <c r="M12" i="3" l="1"/>
  <c r="M11" i="3"/>
  <c r="M10" i="3"/>
  <c r="M9" i="3" l="1"/>
  <c r="M8" i="3"/>
  <c r="M7" i="3" l="1"/>
  <c r="M6" i="3" l="1"/>
  <c r="M4" i="3" l="1"/>
  <c r="M5" i="3"/>
  <c r="M19" i="2" l="1"/>
  <c r="M18" i="2" l="1"/>
  <c r="M17" i="2"/>
  <c r="M14" i="2"/>
  <c r="E16" i="2"/>
  <c r="M16" i="2" s="1"/>
  <c r="M15" i="2"/>
  <c r="M13" i="2"/>
  <c r="M12" i="2"/>
  <c r="E11" i="2"/>
  <c r="M11" i="2" s="1"/>
  <c r="P13" i="1"/>
  <c r="M10" i="2"/>
  <c r="M9" i="2"/>
  <c r="M8" i="2"/>
  <c r="M6" i="2"/>
  <c r="M5" i="2"/>
  <c r="M4" i="2"/>
  <c r="I54" i="2"/>
  <c r="M7" i="2"/>
  <c r="I43" i="1"/>
  <c r="M30" i="1"/>
  <c r="M31" i="1"/>
  <c r="M14" i="1"/>
  <c r="M13" i="1"/>
  <c r="K26" i="1"/>
  <c r="M26" i="1" s="1"/>
  <c r="M29" i="1"/>
  <c r="M28" i="1"/>
  <c r="M27" i="1"/>
  <c r="M25" i="1"/>
  <c r="M23" i="1"/>
  <c r="M24" i="1"/>
  <c r="M17" i="1"/>
  <c r="M16" i="1"/>
  <c r="M12" i="1"/>
  <c r="M22" i="1"/>
  <c r="M21" i="1"/>
  <c r="M20" i="1"/>
  <c r="M10" i="1"/>
  <c r="M19" i="1"/>
  <c r="M6" i="1"/>
  <c r="M18" i="1"/>
  <c r="M11" i="1"/>
  <c r="E9" i="1"/>
  <c r="M9" i="1" s="1"/>
  <c r="M8" i="1"/>
  <c r="K7" i="1"/>
  <c r="M7" i="1" s="1"/>
  <c r="E60" i="1"/>
  <c r="M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E8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hector cobro esa comision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E8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hector cobro esa comision
</t>
        </r>
      </text>
    </comment>
  </commentList>
</comments>
</file>

<file path=xl/sharedStrings.xml><?xml version="1.0" encoding="utf-8"?>
<sst xmlns="http://schemas.openxmlformats.org/spreadsheetml/2006/main" count="6176" uniqueCount="1523">
  <si>
    <t>RELACION DE VENTAS PCYLAP</t>
  </si>
  <si>
    <t>FECHA DE VENTA</t>
  </si>
  <si>
    <t>TIPO DE PAGO</t>
  </si>
  <si>
    <t>TIPO DE SERVICIO</t>
  </si>
  <si>
    <t>TOTAL</t>
  </si>
  <si>
    <t>15 DE ENERO 2023</t>
  </si>
  <si>
    <t>INSTALACION DE TECLADO Y FORMATEO</t>
  </si>
  <si>
    <t>EFECTIVO</t>
  </si>
  <si>
    <t>FECHA DE PEDIDO DE PIEZA</t>
  </si>
  <si>
    <t>COSTO</t>
  </si>
  <si>
    <t>14 DE ENERO 2023</t>
  </si>
  <si>
    <t>PIEZA REQUERIDA</t>
  </si>
  <si>
    <t>TECLADO CON REMACHES</t>
  </si>
  <si>
    <t>UTILIDAD / SERVICIO</t>
  </si>
  <si>
    <t>16  DE ENERO 2023</t>
  </si>
  <si>
    <t>CAMBIO DE FUENTE A CPU Y SSD 240</t>
  </si>
  <si>
    <t>TRANSFERENCIA</t>
  </si>
  <si>
    <t>SSD 240 GB Y FUENTE DE PODER</t>
  </si>
  <si>
    <t>GASTOS FIJOS</t>
  </si>
  <si>
    <t>RENTA MARILU</t>
  </si>
  <si>
    <t>PRESTAMO 10K</t>
  </si>
  <si>
    <t>PRESTAMO 25K</t>
  </si>
  <si>
    <t>MIGUEL MENSUAL</t>
  </si>
  <si>
    <t>VICENTE MENSUAL</t>
  </si>
  <si>
    <t>17 DE ENERO 2023</t>
  </si>
  <si>
    <t>CAMBIO FUENTE A CPU Y SSD 120 GB + 4 GB RAM</t>
  </si>
  <si>
    <t>SSD 120 GB, FUENTE DE PODER, 4 GB RAM</t>
  </si>
  <si>
    <t>POR DEFINIR</t>
  </si>
  <si>
    <t xml:space="preserve">RAUL REPARACION </t>
  </si>
  <si>
    <t>18 DE ENERO 2023</t>
  </si>
  <si>
    <t>ARMADO CPU GAMER Y VENTA NO BREAK + PROGRAMAS</t>
  </si>
  <si>
    <t xml:space="preserve">LAPTOP NO ENCENDIA ( CAMBIO DE TRANSITOR) </t>
  </si>
  <si>
    <t>CLIENTE</t>
  </si>
  <si>
    <t>PUBLICO EN GENERAL</t>
  </si>
  <si>
    <t>DIGARTA</t>
  </si>
  <si>
    <t>ACTUALIZAR Y ACTIVAR WINDOWS 10 LAPTOP ROMMEL</t>
  </si>
  <si>
    <t>IBARRA MANJARREZ Y CIA</t>
  </si>
  <si>
    <t>NO APLICA</t>
  </si>
  <si>
    <t>19 DE ENERO 2023</t>
  </si>
  <si>
    <t>2 CPU LIMPIEZA Y INSTALACION DE TARJETA WIFI</t>
  </si>
  <si>
    <t>TARJETA WIFI X2 AIRE COMPROMIDO</t>
  </si>
  <si>
    <t>REPARACION DE VISAGRAS Y PEGADO</t>
  </si>
  <si>
    <t>CAPTAVALES</t>
  </si>
  <si>
    <t>NO BREAK Y PAGO DE INSUMOS</t>
  </si>
  <si>
    <t xml:space="preserve">INSTALACION DE PROGRAMAS CONTPAQ I </t>
  </si>
  <si>
    <t>M&amp;M REPOSTERIAS</t>
  </si>
  <si>
    <t>20 DE ENERO 2023</t>
  </si>
  <si>
    <t>GMO CORPORATIVO</t>
  </si>
  <si>
    <t>AUMENTO DE MEMORIA RAM Y SSD 500 GB</t>
  </si>
  <si>
    <t>SSD 500 GB Y RAM 8 GB DDR4</t>
  </si>
  <si>
    <t xml:space="preserve">MANTENIMIENTO SAMSUNG </t>
  </si>
  <si>
    <t xml:space="preserve">NOMINA SEMANAL MIGUEL </t>
  </si>
  <si>
    <t>PRESTAMO MENSUAL 25K</t>
  </si>
  <si>
    <t>ENERO 2023</t>
  </si>
  <si>
    <t>VENTA DE LAPTOP LENOVO Y CONFIGURACION</t>
  </si>
  <si>
    <t>LAPTOP LENOVO</t>
  </si>
  <si>
    <t>23 DE ENERO 2023</t>
  </si>
  <si>
    <t>24 DE ENERO 2023</t>
  </si>
  <si>
    <t xml:space="preserve">2 CPU LIMPIEZA </t>
  </si>
  <si>
    <t>TARJETAS WIFI</t>
  </si>
  <si>
    <t>GABINETE CPU SLIM</t>
  </si>
  <si>
    <t>AIRES COMPROMIDOS</t>
  </si>
  <si>
    <t>2 ANTENAS WIFI PCI</t>
  </si>
  <si>
    <t>GABINETE SLIM</t>
  </si>
  <si>
    <t>PROVEEDOR</t>
  </si>
  <si>
    <t>ML</t>
  </si>
  <si>
    <t>CT</t>
  </si>
  <si>
    <t>TALLER EXT</t>
  </si>
  <si>
    <t>TALLET EXT</t>
  </si>
  <si>
    <t>ML CREDITO NUU</t>
  </si>
  <si>
    <t>FORMATEO Y RESPALDO</t>
  </si>
  <si>
    <t>QMX4</t>
  </si>
  <si>
    <t>INTERNET OFICINA</t>
  </si>
  <si>
    <t>25 DE ENERO 2023</t>
  </si>
  <si>
    <t>CPU LIMPIEZA Y CAMBIO DE SSD 240</t>
  </si>
  <si>
    <t>SSD 240 GB</t>
  </si>
  <si>
    <t>NOMINA SEMANAL VICENTE</t>
  </si>
  <si>
    <t>GASOLINA VUELTAS</t>
  </si>
  <si>
    <t>INSTALACION OFFICE</t>
  </si>
  <si>
    <t>CENDI GUARDERIA</t>
  </si>
  <si>
    <t>26 DE ENERO 2023</t>
  </si>
  <si>
    <t>CARGADOR LAPTOP LENOVO</t>
  </si>
  <si>
    <t>CARGADOR LENOVO Y PUNTA AZUL</t>
  </si>
  <si>
    <t>MERCADO LIBRE</t>
  </si>
  <si>
    <t>MARILU COMPLEMENTO RENTA</t>
  </si>
  <si>
    <t>27 DE ENERO 2023</t>
  </si>
  <si>
    <t>ANTENA WIFI</t>
  </si>
  <si>
    <t>LUZ OFICINA</t>
  </si>
  <si>
    <t>28 DE ENERO 2023</t>
  </si>
  <si>
    <t>31 DE ENERO 2023</t>
  </si>
  <si>
    <t xml:space="preserve">VENTA CPU </t>
  </si>
  <si>
    <t>30 DIAS DE CREDITO</t>
  </si>
  <si>
    <t>COMPONENTES PARA CPU</t>
  </si>
  <si>
    <t>CAMBIO SSD 960 GB LIMPIEZA Y TECLADO REFACCION</t>
  </si>
  <si>
    <t xml:space="preserve">SSD 960 GB </t>
  </si>
  <si>
    <t>23 DE FEBRERO 2023</t>
  </si>
  <si>
    <t>RENTA MARILUU</t>
  </si>
  <si>
    <t>15 DE FEBRERO 2023</t>
  </si>
  <si>
    <t>TELEFONO OFICINA</t>
  </si>
  <si>
    <t>01 DE FEBRERO 2023</t>
  </si>
  <si>
    <t>VENTA DE CARGADOR REFACCION Y BOCINA REFACCION</t>
  </si>
  <si>
    <t>GASTOS VARIABLES</t>
  </si>
  <si>
    <t>GASOLINA</t>
  </si>
  <si>
    <t>ACTIVACION OFFICE Y CONFIGURACION ZOOM</t>
  </si>
  <si>
    <t>02 DE FEBRERO 2023</t>
  </si>
  <si>
    <t xml:space="preserve">INSTALACION AUTOCAD 2023 Y PROJECT </t>
  </si>
  <si>
    <t>TARJETA DEBITO</t>
  </si>
  <si>
    <t>04 DE FEBRERO 2023</t>
  </si>
  <si>
    <t>NOMINA SEMANAL MIGUEL</t>
  </si>
  <si>
    <t>GASTOS FEBRERO 2023</t>
  </si>
  <si>
    <t>SSD 960 GB CLONADO Y ACTIVADO</t>
  </si>
  <si>
    <t>SSD 960 GB</t>
  </si>
  <si>
    <t>07 DE FEBRERO 2023</t>
  </si>
  <si>
    <t>ADELANTO MIGUEL NOMINA</t>
  </si>
  <si>
    <t xml:space="preserve">SOPORTE TECNICO CONTPAQ I </t>
  </si>
  <si>
    <t>10 DE FEBRERO 2023</t>
  </si>
  <si>
    <t>4 LAPTOPS LIMPIEZA</t>
  </si>
  <si>
    <t>09 DE FEBRERO 2023</t>
  </si>
  <si>
    <t>MANTENIMIENTO LAPTOP</t>
  </si>
  <si>
    <t>FORMATEO LAPTOP Y INSTALACION OFFICE Y IMPRESORA</t>
  </si>
  <si>
    <t>11 DE FEBRERO 2023</t>
  </si>
  <si>
    <t>14 DE FEBRERO 2023</t>
  </si>
  <si>
    <t>CAMBIO DISCO DURO SSD 240 GB</t>
  </si>
  <si>
    <t xml:space="preserve">SSD 240 GB </t>
  </si>
  <si>
    <t>IBARRA MANJARREZ Y CIA SC</t>
  </si>
  <si>
    <t>30 DIAS CREDITO</t>
  </si>
  <si>
    <t>60 DIAS CREDITO</t>
  </si>
  <si>
    <t>PIEZAS PARA ARMADO</t>
  </si>
  <si>
    <t>1ER QUINCENA RENTA MARILU</t>
  </si>
  <si>
    <t>CT INTERNACIONAL ABONO CREDITO</t>
  </si>
  <si>
    <t>CAMBIO SSD 480 GB</t>
  </si>
  <si>
    <t>SSD 480 GB</t>
  </si>
  <si>
    <t xml:space="preserve">SOPORTE TECNICO </t>
  </si>
  <si>
    <t xml:space="preserve">VENTA DE GABINETE REGULADOR Y NO BREAK </t>
  </si>
  <si>
    <t>MISPEPPER</t>
  </si>
  <si>
    <t>REGULADOR NO BREAK</t>
  </si>
  <si>
    <t>CAMBIO SSD 960 GB</t>
  </si>
  <si>
    <t>PUBLICO EN GENERAL ( ALEJANDRO VENADOS)</t>
  </si>
  <si>
    <t>MANTENIMIENTO A CPU</t>
  </si>
  <si>
    <t>LAVANDERIAS Y TINTORERIAS REVOLUCION</t>
  </si>
  <si>
    <t>16 DE FEBRERO 2023</t>
  </si>
  <si>
    <t>ABONO A PRESTAMO 2K</t>
  </si>
  <si>
    <t>18 DE FEBRERO 2023</t>
  </si>
  <si>
    <t>OFFICE ACTIVACION</t>
  </si>
  <si>
    <t>25 DE FEBRERO 2023</t>
  </si>
  <si>
    <t>24 DE FEBRERO 2023</t>
  </si>
  <si>
    <t>REPARACION Y MTTO LAPTOP</t>
  </si>
  <si>
    <t>RAUL REPARACION</t>
  </si>
  <si>
    <t>28 DE FEBRERO 2023</t>
  </si>
  <si>
    <t>2DA QUINCENA RENTA MARILU</t>
  </si>
  <si>
    <t>03 DE MARZO 2023</t>
  </si>
  <si>
    <t>VENTA CARGADOR ASUS Y MANTENIMIENTO</t>
  </si>
  <si>
    <t>CARGADOR ASUS</t>
  </si>
  <si>
    <t>01 DE MARZO 2023</t>
  </si>
  <si>
    <t>LIMPIEZA LAPTOP LENOVO TINK PAD</t>
  </si>
  <si>
    <t>04 DE MARZO 2023</t>
  </si>
  <si>
    <t>GASTOS MARZO 2023</t>
  </si>
  <si>
    <t>23 DE MARZO 2023</t>
  </si>
  <si>
    <t>15 DE MARZO 2023</t>
  </si>
  <si>
    <t>10 DE MARZO 2023</t>
  </si>
  <si>
    <t>CAMBIO SSD 240 GB</t>
  </si>
  <si>
    <t>EN EXISTENCIA</t>
  </si>
  <si>
    <t>18 DE MARZO 2023</t>
  </si>
  <si>
    <t>22 DE MARZO 2023</t>
  </si>
  <si>
    <t>CAMBIO DE VISAGRAS</t>
  </si>
  <si>
    <t>VISAGRAS</t>
  </si>
  <si>
    <t>21 DE MARZO 2023</t>
  </si>
  <si>
    <t>VENTA DE DOS PUNTOS DE VENTA</t>
  </si>
  <si>
    <t>ULTRA PARTICIPACIONES</t>
  </si>
  <si>
    <t>KITS PUNTO DE VENTA Y ARMADO</t>
  </si>
  <si>
    <t>20 DE MARZO 2023</t>
  </si>
  <si>
    <t>CT Y ML</t>
  </si>
  <si>
    <t xml:space="preserve">PALERMO </t>
  </si>
  <si>
    <t>ABONO RENTA MARILU</t>
  </si>
  <si>
    <t>CAMBIO SSD 480</t>
  </si>
  <si>
    <t xml:space="preserve">CT </t>
  </si>
  <si>
    <t>12 DE ABRIL 2023</t>
  </si>
  <si>
    <t>CAMBIO FUENTE DE PODER Y MTTO</t>
  </si>
  <si>
    <t>FUENTE DE PODER</t>
  </si>
  <si>
    <t>11 DE ABRIL 2023</t>
  </si>
  <si>
    <t>BENJAMIN</t>
  </si>
  <si>
    <t>08 DE ABRIL 2023</t>
  </si>
  <si>
    <t>3 EQUIPOS CON PUNTO DE VENTA</t>
  </si>
  <si>
    <t>13 DE ABRIL 2023</t>
  </si>
  <si>
    <t>REPARACION DE VISAGRAS</t>
  </si>
  <si>
    <t>TALLER RAUL</t>
  </si>
  <si>
    <t>14 DE ABRIL 2023</t>
  </si>
  <si>
    <t>RAUL</t>
  </si>
  <si>
    <t>SOPORTE TECNICO CONTPAQ</t>
  </si>
  <si>
    <t>-</t>
  </si>
  <si>
    <t>17 DE ABRIL 2023</t>
  </si>
  <si>
    <t>VENTA DE BATERIA</t>
  </si>
  <si>
    <t>BATERIA</t>
  </si>
  <si>
    <t>18 DE ABRIL 2023</t>
  </si>
  <si>
    <t>RESPALDO DE INFORMACION</t>
  </si>
  <si>
    <t>15 DE ABRIL 2023</t>
  </si>
  <si>
    <t>08 DE JUNIO 2023</t>
  </si>
  <si>
    <t>DISCO DURO SSD 120 GB</t>
  </si>
  <si>
    <t>SSD 240 GB ( REFACCION)</t>
  </si>
  <si>
    <t>TALLER</t>
  </si>
  <si>
    <t>VISAGRAS Y JACK LAPTOP ROJA MARCA "acer"</t>
  </si>
  <si>
    <t>JACK Y MANO DE OBRA RAUL</t>
  </si>
  <si>
    <t>RAUL Y ML</t>
  </si>
  <si>
    <t>10 DE JUNIO 2023</t>
  </si>
  <si>
    <t>GASTOS JUNIO 2023</t>
  </si>
  <si>
    <t>30 DE JUNIO 2023</t>
  </si>
  <si>
    <t>MARILU RENTA</t>
  </si>
  <si>
    <t>BENJAMIN PRESTAMO CAJA POPULAR</t>
  </si>
  <si>
    <t>17 DE JUNIO 2023</t>
  </si>
  <si>
    <t>24 DE JUNIO 2023</t>
  </si>
  <si>
    <t>01 DE JULIO 2023</t>
  </si>
  <si>
    <t>ROTULO FRENTE OFICINA</t>
  </si>
  <si>
    <t>MEMORIA RAM 8 GB MTTO Y CONTPAQ</t>
  </si>
  <si>
    <t>MEMORIA RAM 8 GB Y CONTPAQ</t>
  </si>
  <si>
    <t>TALLER Y ML</t>
  </si>
  <si>
    <t>PROGRAMAS GALERNA</t>
  </si>
  <si>
    <t>CORPORATIVO GARDENIA</t>
  </si>
  <si>
    <t>21 DE JUNIO 2023</t>
  </si>
  <si>
    <t xml:space="preserve">FORMATEO E INSTALACION SSD </t>
  </si>
  <si>
    <t>GASPASA GASOLINAS</t>
  </si>
  <si>
    <t>INSTALACION DE MEMORIA RAM 8 GB DDR4</t>
  </si>
  <si>
    <t xml:space="preserve">MEMORIA RAM 8 GB </t>
  </si>
  <si>
    <t>15 DE JUNIO 2023</t>
  </si>
  <si>
    <t>23 DE JUNIO 2023</t>
  </si>
  <si>
    <t>INSTALACION DE MEMORIA RAM 8 GB DDR4 Y LIMPIEZA</t>
  </si>
  <si>
    <t>INSTALACION SSD 240 GB + 8 GB DE RAM DDR4</t>
  </si>
  <si>
    <t>INSTALACION AUTOCAD</t>
  </si>
  <si>
    <t>25 DE JUNIO 2023</t>
  </si>
  <si>
    <t>MANTENIMIENTO ALL IN ONE</t>
  </si>
  <si>
    <t>SOPORTE TECNICO</t>
  </si>
  <si>
    <t>ETERNUS</t>
  </si>
  <si>
    <t>CAESAR CONCRETOS</t>
  </si>
  <si>
    <t>04 DE JULIO 2023</t>
  </si>
  <si>
    <t>INSTALACION MEMORIA RAM INCLUYE PIEZA</t>
  </si>
  <si>
    <t>GASPASA</t>
  </si>
  <si>
    <t>MEMORIA RAM 8 GB DDR4</t>
  </si>
  <si>
    <t>30 DE JULIO 2023</t>
  </si>
  <si>
    <t>BENJAMIN AHORRO</t>
  </si>
  <si>
    <t>08 DE JULIO 2023</t>
  </si>
  <si>
    <t>15 DE JULIO 2023</t>
  </si>
  <si>
    <t>22 DE JULIO 2023</t>
  </si>
  <si>
    <t>29 DE JULIO 2023</t>
  </si>
  <si>
    <t xml:space="preserve">MANTENIMIENTO PREVENTIVO </t>
  </si>
  <si>
    <t>PRESTAMOS MERCADO LIBRE</t>
  </si>
  <si>
    <t>06 DE JULIO 2023</t>
  </si>
  <si>
    <t>CAMBIO DE PANTALLA</t>
  </si>
  <si>
    <t>PANTALLA</t>
  </si>
  <si>
    <t>07 DE JULIO 2023</t>
  </si>
  <si>
    <t>22 DE JUNIO 2023</t>
  </si>
  <si>
    <t>IBARRA MANJARREZ</t>
  </si>
  <si>
    <t>28 DE JULIO 2023</t>
  </si>
  <si>
    <t xml:space="preserve">CAMBIO DE MEMORIAS RAM 32 GB X2 </t>
  </si>
  <si>
    <t>BONARCHI INGENIERIA</t>
  </si>
  <si>
    <t>2 MEMORIAS RAM DE 32 GB DDR4</t>
  </si>
  <si>
    <t>31 DE JULIO 2023</t>
  </si>
  <si>
    <t>MANTENIMIENTO A CPU Y INSTALACION 2 DE 16 GB</t>
  </si>
  <si>
    <t>2 MEMORIAS RAM DE 16 GB</t>
  </si>
  <si>
    <t>CAMBIO SSD 480 GB + INSTALACION Y CONFIGURACION CONTPAQ</t>
  </si>
  <si>
    <t xml:space="preserve">1 DISCO DURO 480 GB </t>
  </si>
  <si>
    <t xml:space="preserve">COMISION GANSO </t>
  </si>
  <si>
    <t>CAMBIO DE MEMORIAS RAM 32 GB X2  + LIMPIEZA</t>
  </si>
  <si>
    <t>CT PAGADO POR NUU</t>
  </si>
  <si>
    <t>01 DE AGOSTO 2023</t>
  </si>
  <si>
    <t>VENTA DE EQUIPO DE COMPUTO</t>
  </si>
  <si>
    <t>MISSPEPPER</t>
  </si>
  <si>
    <t>REGULADOR DE CORRIENTE</t>
  </si>
  <si>
    <t>REGULADOR</t>
  </si>
  <si>
    <t>BONARCHI INGRESOS</t>
  </si>
  <si>
    <t>BONARCHI COSTO DE SER</t>
  </si>
  <si>
    <t>COMISION GANSO</t>
  </si>
  <si>
    <t xml:space="preserve">TOTAL COSTO </t>
  </si>
  <si>
    <t>UTILIDAD PCYLAP</t>
  </si>
  <si>
    <t xml:space="preserve">VENTA DE CARCASA DISCO DURO </t>
  </si>
  <si>
    <t>GASTOS JULIO 2023</t>
  </si>
  <si>
    <t>05 DE AGOSTO 2023</t>
  </si>
  <si>
    <t>31 DE AGOSTO 2023</t>
  </si>
  <si>
    <t>12 DE AGOSTO 2023</t>
  </si>
  <si>
    <t>19 DE AGOSTO 2023</t>
  </si>
  <si>
    <t>26 DE AGOSTO 2023</t>
  </si>
  <si>
    <t>02 DE AGOSTO 2023</t>
  </si>
  <si>
    <t xml:space="preserve">FORMATEO LAP OMEN </t>
  </si>
  <si>
    <t xml:space="preserve">CARCASA </t>
  </si>
  <si>
    <t>FUENTE DE PODER PARA GABINETE</t>
  </si>
  <si>
    <t>FUENTE DE PODERR</t>
  </si>
  <si>
    <t>09 DE AGOSTO 2023</t>
  </si>
  <si>
    <t xml:space="preserve">DISCO DURO 480 GB </t>
  </si>
  <si>
    <t>08 DE AGOSTO 2023</t>
  </si>
  <si>
    <t>PC LIMPIEZA Y SSD 240 GB</t>
  </si>
  <si>
    <t>DISCO DURO 240 GB</t>
  </si>
  <si>
    <t>LAPTOP HP DORADA 240 GB SSD</t>
  </si>
  <si>
    <t>GASTOS AGOSTO 2023</t>
  </si>
  <si>
    <t xml:space="preserve">PC GAMER </t>
  </si>
  <si>
    <t xml:space="preserve">ARMADO DE PC GAMER </t>
  </si>
  <si>
    <t>10 DE AGOSTO 2023</t>
  </si>
  <si>
    <t>CAMBIO VENTILADOR Y 2 MEMORIAS RAM 16 GB DDR4</t>
  </si>
  <si>
    <t xml:space="preserve">VENTILADOR Y MEMORIA RAM </t>
  </si>
  <si>
    <t>NUU PAGO PROVEEDORES</t>
  </si>
  <si>
    <t>NOMINA BENJAMIN SEMANAL</t>
  </si>
  <si>
    <t>11 DE AGOSTO 2023</t>
  </si>
  <si>
    <t xml:space="preserve">CAMBIO DE TECLADO </t>
  </si>
  <si>
    <t xml:space="preserve">TECLADO DELL </t>
  </si>
  <si>
    <t>14 DE AGOSTO 2023</t>
  </si>
  <si>
    <t>INSTALACION Y CONFIGURACION TARJETA VIDEO</t>
  </si>
  <si>
    <t>15 DE AGOSTO 2023</t>
  </si>
  <si>
    <t>MARYTIERRA</t>
  </si>
  <si>
    <t>INSTALACION MEMORIAS RAM Y LIMPIEZA</t>
  </si>
  <si>
    <t>MEMORIAS RAM X5  16 GB</t>
  </si>
  <si>
    <t>M2 500 GB SSD</t>
  </si>
  <si>
    <t>DISCO DURO M2 500 GB LAPTOP HP AZUL LOPEZ MATEOS</t>
  </si>
  <si>
    <t>16 DE AGOSTO 2023</t>
  </si>
  <si>
    <t>DISCO DURO SSD 480 GB ALL IN ONE</t>
  </si>
  <si>
    <t>GRUPO TENERIFE</t>
  </si>
  <si>
    <t xml:space="preserve">DISCO DURO M2 240 GB </t>
  </si>
  <si>
    <t>DISCO DURO M2 240 GB</t>
  </si>
  <si>
    <t>17 DE AGOSTO 2023</t>
  </si>
  <si>
    <t>VENTA BATERIA LAPTOP</t>
  </si>
  <si>
    <t xml:space="preserve">BATERIA LAPTOP </t>
  </si>
  <si>
    <t>18 DE AGOSTO 2023</t>
  </si>
  <si>
    <t>VENTA BATERIA LAPTOP QUITA PON</t>
  </si>
  <si>
    <t>21 DE AGOSTO 2023</t>
  </si>
  <si>
    <t>FORMATEO LAPTOP LENOVO DISCO NORMAL</t>
  </si>
  <si>
    <t>23 DE AGOSTO 2023</t>
  </si>
  <si>
    <t xml:space="preserve">VENTA DE GABINETE Y MANTENIMIENTO </t>
  </si>
  <si>
    <t>MANTENIMIENTO  DISCO DURO PC ROMMEL</t>
  </si>
  <si>
    <t>28 DE AGOSTO 2023</t>
  </si>
  <si>
    <t>MANTENIMIENTO PREVENTIVO LAPT GAMER</t>
  </si>
  <si>
    <t>MANTENIMIENTO PC VIEJITA</t>
  </si>
  <si>
    <t>NOMINA SEMANAL BENJAMIN</t>
  </si>
  <si>
    <t>ALL IN ONE DELL 1 DE 2 BONARCHI</t>
  </si>
  <si>
    <t xml:space="preserve">BONARCHI </t>
  </si>
  <si>
    <t>DISCO DURO 1TB MEMORIA RAM 8 GB</t>
  </si>
  <si>
    <t>ALL IN ONE DELL 2 DE 2 BONARCHI</t>
  </si>
  <si>
    <t>PC PARA ISABEL</t>
  </si>
  <si>
    <t>01 DE SEPTIEMBRE 2023</t>
  </si>
  <si>
    <t>CAMBIO A SSD 240 GB HP BLANCA</t>
  </si>
  <si>
    <t>NUU PAGO PROVEEDOR</t>
  </si>
  <si>
    <t>08 DE SEPTIEMBRE 2023</t>
  </si>
  <si>
    <t>30 DE SEPTIEMBRE 2023</t>
  </si>
  <si>
    <t>15 DE SEPTIEMBRE 2023</t>
  </si>
  <si>
    <t>22 DE SEPTIEMBRE 2023</t>
  </si>
  <si>
    <t>29 DE SEPTIEMBRE 2023</t>
  </si>
  <si>
    <t>NUU PAGO DE MERCANCIA</t>
  </si>
  <si>
    <t>02 DE SEPTIEMBRE 2023</t>
  </si>
  <si>
    <t>MANTENIMIENTO Y AUMENTO DE MEMORIA RAM</t>
  </si>
  <si>
    <t>BONARCHI ARQUITECTURA</t>
  </si>
  <si>
    <t xml:space="preserve">MEMORIA RAM 8 GB DDR4 </t>
  </si>
  <si>
    <t>03 DE SEPTIEMBRE 2023</t>
  </si>
  <si>
    <t>MANTENIMIENTO, AUMENTO DE RAM Y DISCO DURO 480 GB SSD</t>
  </si>
  <si>
    <t>DOS MEMORIAS RAM 16 GB Y SSD 480 GB</t>
  </si>
  <si>
    <t>05 DE SEPTIEMBRE 2023</t>
  </si>
  <si>
    <t>SOPORTE TECNICO HP ALARCON</t>
  </si>
  <si>
    <t>INSTALACION DE PROGRAMAS DE DISEÑO</t>
  </si>
  <si>
    <t xml:space="preserve">VR INTERIORISMO </t>
  </si>
  <si>
    <t>CAMBIO A SSD 240 GB HP GRIS y REFACCION DISPLAY</t>
  </si>
  <si>
    <t>06 DE SEPTIEMBRE 2023</t>
  </si>
  <si>
    <t>12 DE SEPTIEMBRE 2023</t>
  </si>
  <si>
    <t>INSTALACION SSD 240 GB HP OMEN</t>
  </si>
  <si>
    <t>INSTALACION GABINETE GAMER XPG</t>
  </si>
  <si>
    <t>GABINETE MARCA XPG</t>
  </si>
  <si>
    <t>18 DE SEPTIEMBRE 2023</t>
  </si>
  <si>
    <t>VENTA DE NO BREAK</t>
  </si>
  <si>
    <t xml:space="preserve">NO BREAK </t>
  </si>
  <si>
    <t xml:space="preserve">CAMBIO DE FUENTE Y MANTENIMIENTO </t>
  </si>
  <si>
    <t>19 DE SEPTIEMBRE 2023</t>
  </si>
  <si>
    <t>TECLADO REPUESTO</t>
  </si>
  <si>
    <t>ACTUALIZACION TARJETA MADRE Y PROCESADOR</t>
  </si>
  <si>
    <t>COMPONENTES ARMADO PC</t>
  </si>
  <si>
    <t>MANTENIMIENTO LAPTOP DELL</t>
  </si>
  <si>
    <t>GRUPO VEOSTECH</t>
  </si>
  <si>
    <t>VENTA DE CARGADOR DELL ORIGINAL</t>
  </si>
  <si>
    <t>CARGADOR DELL ORIGINAL</t>
  </si>
  <si>
    <t>25 DE SEPTIEMBRE 2023</t>
  </si>
  <si>
    <t xml:space="preserve">CAMBIO TECLADO BATERIA  Y FORMATEO </t>
  </si>
  <si>
    <t>BATERIA Y TECLADO</t>
  </si>
  <si>
    <t>26 DE SEPTIEMBRE 2023</t>
  </si>
  <si>
    <t>VENTA DE CARGADOR Y MANTENIMIENTO LAPTOP</t>
  </si>
  <si>
    <t>CARGADOR HP PUNTA AZUL</t>
  </si>
  <si>
    <t>CAMBIO DISCO DURO SSD 240 GB LENOVO GRIS</t>
  </si>
  <si>
    <t>EN INVENTARIO</t>
  </si>
  <si>
    <t>28 DE SEPTIEMBRE 2023</t>
  </si>
  <si>
    <t xml:space="preserve">INSTALACION OFFICE Y CONTPAQ I </t>
  </si>
  <si>
    <t xml:space="preserve">ULTRA PARTICIPACIONES </t>
  </si>
  <si>
    <t xml:space="preserve">SOPORTE TECNICO A LAPTOP DE NOMINAS </t>
  </si>
  <si>
    <t>ENTRETENIMIENTO PALERMO</t>
  </si>
  <si>
    <t>03 DE OCTUBRE 2023</t>
  </si>
  <si>
    <t>01 DE OCTUBRE 2023</t>
  </si>
  <si>
    <t xml:space="preserve">INSTALACION AUTOCAD </t>
  </si>
  <si>
    <t>BONARCHI ARQUITECTOS</t>
  </si>
  <si>
    <t>GASTOS OCTUBRE 2023</t>
  </si>
  <si>
    <t>GASTOS SEPTIEMBRE 2023</t>
  </si>
  <si>
    <t>06 DE OCTUBRE 2023</t>
  </si>
  <si>
    <t>13 DE OCTUBRE 2023</t>
  </si>
  <si>
    <t>20 DE OCTUBRE 2023</t>
  </si>
  <si>
    <t>27 DE OCTUBRE 2023</t>
  </si>
  <si>
    <t xml:space="preserve">NOMINA BRYAN </t>
  </si>
  <si>
    <t>NOMINA BRYAN</t>
  </si>
  <si>
    <t>25 DE OCTUBRE 2023</t>
  </si>
  <si>
    <t>31 DE OCTUBRE 2023</t>
  </si>
  <si>
    <t>TARJETA NUU PAGOS</t>
  </si>
  <si>
    <t>CAMBIO A SSD 240 GB Y MANTENIMIENTO LAPTOP DELL AZUL</t>
  </si>
  <si>
    <t>CAMBIO A SSD 500 GB Y MANTENIMIENTO LAPTOP HP GRIS</t>
  </si>
  <si>
    <t>05 DE OCTUBRE 2023</t>
  </si>
  <si>
    <t xml:space="preserve">FORMATEO Y REPARACION DE RAUL </t>
  </si>
  <si>
    <t>RAUL TALLER</t>
  </si>
  <si>
    <t>07 DE OCTUBRE 2023</t>
  </si>
  <si>
    <t xml:space="preserve">MANTENIMIENTO A LAPTOP </t>
  </si>
  <si>
    <t>09 DE OCTUBRE 2023</t>
  </si>
  <si>
    <t>MANTENIMIENTO PC A DOMICILIO</t>
  </si>
  <si>
    <t>11 DE OCTUBRE 2023</t>
  </si>
  <si>
    <t xml:space="preserve">CAMBIO A SSD 240 GB Y MANTENIMIENTO LAPTOP </t>
  </si>
  <si>
    <t>10 DE OCTUBRE 2023</t>
  </si>
  <si>
    <t>NUU PROVEEDOR</t>
  </si>
  <si>
    <t>MANTENIMIENTO PC  QUE SE USA COMO SERVER</t>
  </si>
  <si>
    <t>MANTENIMIENTO PC E INSTALACION AUTOCAD</t>
  </si>
  <si>
    <t>14 DE OCTUBRE 2023</t>
  </si>
  <si>
    <t>MANTENIMIENTO A PC GAMER Y CAMBIO DE DISIPADOR</t>
  </si>
  <si>
    <t>FORMATEO LAPTOP</t>
  </si>
  <si>
    <t>17 DE OCTUBRE 2023</t>
  </si>
  <si>
    <t>JACK Y OFFICE</t>
  </si>
  <si>
    <t xml:space="preserve">JACK </t>
  </si>
  <si>
    <t xml:space="preserve">JACK ML </t>
  </si>
  <si>
    <t>19 DE OCTUBRE 2023</t>
  </si>
  <si>
    <t>MANTENIMIENTO A LAPTOP Y FORMATEO</t>
  </si>
  <si>
    <t>MANTENIMIENTO A LAPTOP HP BLANCA</t>
  </si>
  <si>
    <t>KIT CORE I3 Y PLACA</t>
  </si>
  <si>
    <t>KIT INTEL Y PLACA</t>
  </si>
  <si>
    <t>CT INTERNACIONAL</t>
  </si>
  <si>
    <t>FORMATEO HP BLANCA</t>
  </si>
  <si>
    <t>INSTALACION AUTOCAD 4 COMPUS</t>
  </si>
  <si>
    <t>VR INTERIORISMO</t>
  </si>
  <si>
    <t xml:space="preserve">FORMATEO CPU PROYECTOS E INSTALACION DE PROGRAMAS </t>
  </si>
  <si>
    <t>28 DE OCTUBRE 2023</t>
  </si>
  <si>
    <t>CAMBIO DISPLAY ALL IN ONE</t>
  </si>
  <si>
    <t xml:space="preserve">PANTALLA </t>
  </si>
  <si>
    <t>30 DE OCTUBRE 2023</t>
  </si>
  <si>
    <t>29 DE OCTUBRE 2023</t>
  </si>
  <si>
    <t>MANTENIMIENTO A CPU GAMER</t>
  </si>
  <si>
    <t>CAMBIO DISPLAY LAPTOP LENOVO</t>
  </si>
  <si>
    <t>NUU PAGO A PROVEEDOR</t>
  </si>
  <si>
    <t xml:space="preserve">ARMADO DE CPU </t>
  </si>
  <si>
    <t>MANTENIMIENTO  NITRO</t>
  </si>
  <si>
    <t>GASTOS NOVIEMBRE 2023</t>
  </si>
  <si>
    <t>03 DE NOVIEMBRE 2023</t>
  </si>
  <si>
    <t>10 DE NOVIEMBRE 2023</t>
  </si>
  <si>
    <t>17 DE NOVIEMBRE 2023</t>
  </si>
  <si>
    <t>24 DE NOVIEMBRE 2023</t>
  </si>
  <si>
    <t>30 DE NOVIEMBRE 2023</t>
  </si>
  <si>
    <t>25 DE NOVIEMBRE 2023</t>
  </si>
  <si>
    <t>CONFIGURACION DE SERVIDOR ( ENLACE A EQUIPOS OFICINA)</t>
  </si>
  <si>
    <t>04 DE NOVIEMBRE 2023</t>
  </si>
  <si>
    <t>AUMENTO DE MEMORIA RAM A 16 GB Y MANTENIMIENTO</t>
  </si>
  <si>
    <t>MEMORIA RAM 16 GB DDR4</t>
  </si>
  <si>
    <t>06 DE NOVIEMBRE 2023</t>
  </si>
  <si>
    <t>LIMPIEZA LAPTOP Y RESPALDO</t>
  </si>
  <si>
    <t>08 DE NOVIEMBRE 2023</t>
  </si>
  <si>
    <t xml:space="preserve">FORMATEO CPU GAMER </t>
  </si>
  <si>
    <t>14 DE NOVIEMBRE 2023</t>
  </si>
  <si>
    <t>EXOTICA</t>
  </si>
  <si>
    <t>16 DE NOVIEMBRE 2023</t>
  </si>
  <si>
    <t>MANTIMIENTO LAPTOP</t>
  </si>
  <si>
    <t>21 DE NOVIEMBRE 2023</t>
  </si>
  <si>
    <t>CAMBIO A SSD 250 M2 Y MTTO</t>
  </si>
  <si>
    <t xml:space="preserve">GRUPO VEOSTECH </t>
  </si>
  <si>
    <t>SSD  M2</t>
  </si>
  <si>
    <t>BENJAMIN EFECTIVO</t>
  </si>
  <si>
    <t>ACTUALIZACION SERVER PALERMO 2 TB SSD Y 32 GB RAM</t>
  </si>
  <si>
    <t>GRUPO PALERMO</t>
  </si>
  <si>
    <t>M2 Y MEMORIA RAM</t>
  </si>
  <si>
    <t>DE CONTADO</t>
  </si>
  <si>
    <t>22 DE NOVIEMBRE 2023</t>
  </si>
  <si>
    <t>FORMATEO E INSTALACION DE PROGRAMAS</t>
  </si>
  <si>
    <t xml:space="preserve">LIMPIEZA DE LAPTOP </t>
  </si>
  <si>
    <t>23 DE NOVIEMBRE 2023</t>
  </si>
  <si>
    <t xml:space="preserve">CAMBIO DE TECLADO LENOVO </t>
  </si>
  <si>
    <t>TECLADO LENOVO</t>
  </si>
  <si>
    <t>PAGO CONTADO</t>
  </si>
  <si>
    <t>CAMBIO DE CARCASA Y SSD 240 M2</t>
  </si>
  <si>
    <t>CARCASA Y M2 240 GB Y MTTO</t>
  </si>
  <si>
    <t>27 DE NOVIEMBRE 2023</t>
  </si>
  <si>
    <t xml:space="preserve">INSTALACION DE OFFICE </t>
  </si>
  <si>
    <t>CAMBIO A SSD 1 TB</t>
  </si>
  <si>
    <t>MANTENIMIENTO A 3 LAPTOPS</t>
  </si>
  <si>
    <t>28 DE NOVIEMBRE 2023</t>
  </si>
  <si>
    <t>29 DE NOVIEMBRE 2023</t>
  </si>
  <si>
    <t>INSTALACION TARJETA VIDEO</t>
  </si>
  <si>
    <t>FORMATEO LAPTOP DELL SONIDO</t>
  </si>
  <si>
    <t xml:space="preserve">FORMATEO LAPTOP HP </t>
  </si>
  <si>
    <t>CAMBIO DE CARCASA, VISAGRAS Y TAPA</t>
  </si>
  <si>
    <t>CARCASA Y VISAGRAS</t>
  </si>
  <si>
    <t>07 DE DICIEMBRE 2023</t>
  </si>
  <si>
    <t>VENTA SSD 480 GB LAPTOP LENOVO</t>
  </si>
  <si>
    <t>INVENTARIO</t>
  </si>
  <si>
    <t>FORMATEO LAPTOP NUEVA</t>
  </si>
  <si>
    <t>11 DE DICIEMBRE 2023</t>
  </si>
  <si>
    <t>08 DE DICIEMBRE 2023</t>
  </si>
  <si>
    <t>15 DE DICIEMBRE 2023</t>
  </si>
  <si>
    <t>22 DE DICIEMBRE 2023</t>
  </si>
  <si>
    <t>25 DE DICIEMBRE 2023</t>
  </si>
  <si>
    <t>29 DE DICIEMBRE 2023</t>
  </si>
  <si>
    <t>30 DE DICIEMBRE 2023</t>
  </si>
  <si>
    <t>AGUINALDO MIGUEL</t>
  </si>
  <si>
    <t>AGUINALDO BENJAMIN</t>
  </si>
  <si>
    <t>13 DE DICIEMBRE 2023</t>
  </si>
  <si>
    <t>MANTENIMIENTO HP OMEN</t>
  </si>
  <si>
    <t>ACTUALIZACION LAPTOP HP AZUL VENADOS</t>
  </si>
  <si>
    <t xml:space="preserve">ACTUALIZACION HP ACERR VENADOS </t>
  </si>
  <si>
    <t>TECLADO HP MAS SSD 240 GB</t>
  </si>
  <si>
    <t>SSD 240 GB  Y TECLADO</t>
  </si>
  <si>
    <t xml:space="preserve">13 DE DICIEMBRE </t>
  </si>
  <si>
    <t>14 DE DICIEMBRE</t>
  </si>
  <si>
    <t>CPU GAMER MANTENIMIENTO</t>
  </si>
  <si>
    <t>INSTALACION DE DISIPADOR LIQUIDO</t>
  </si>
  <si>
    <t>03 DE ENERO 2023</t>
  </si>
  <si>
    <t>ARREGLO DE VISAGRAS Y FORMATEO</t>
  </si>
  <si>
    <t>GASTOS ENERO 2023</t>
  </si>
  <si>
    <t>05 DE ENERO 2023</t>
  </si>
  <si>
    <t>12 DE ENERO 2023</t>
  </si>
  <si>
    <t>30 DE ENERO 2023</t>
  </si>
  <si>
    <t>04 DE ENERO 2023</t>
  </si>
  <si>
    <t xml:space="preserve">CAMBIO SSD 480 GB </t>
  </si>
  <si>
    <t>CPU FALTA MANTENIMIENTO</t>
  </si>
  <si>
    <t>LAPTOP DELL G3 SE APAGA LA PANTALLA E INSTALAR OFFICE</t>
  </si>
  <si>
    <t>LIMPIEZA LAPTOP HP PLAGA</t>
  </si>
  <si>
    <t>INSTALACION PROGRAMAS AUTOCAD, OFFICE, ARCHICAD</t>
  </si>
  <si>
    <t xml:space="preserve">TARJETA </t>
  </si>
  <si>
    <t>06 DE ENERO 2023</t>
  </si>
  <si>
    <t>08 DE ENERO 2023</t>
  </si>
  <si>
    <t>VICTOR DE RUEDA</t>
  </si>
  <si>
    <t>INSTALACION BATERIA  HP</t>
  </si>
  <si>
    <t>FORMATEO MINILAPTOP</t>
  </si>
  <si>
    <t>BORRADO DE NOTIFICACIONES</t>
  </si>
  <si>
    <t>MANTENIMIENTO E INSTALACION DE PROGRAMAS</t>
  </si>
  <si>
    <t>INSTALACION 6 OFFICE</t>
  </si>
  <si>
    <t>DODO HOMES</t>
  </si>
  <si>
    <t>DISCO DURO DE 2 TB MAS INSTALACION DE PROGRAMAS</t>
  </si>
  <si>
    <t>INSTALACION DE OFFICE , AUTOCAD , SKETCHUP,  VRAY,LUMION,ESNCAPE,PHOTOSHOP E ILUSTRATOR</t>
  </si>
  <si>
    <t>GALERNA</t>
  </si>
  <si>
    <t>REPARACION LAPTOP CORTO</t>
  </si>
  <si>
    <t xml:space="preserve">LAPTOP LENOVO LEGIN 500 M2 SSD </t>
  </si>
  <si>
    <t>01 DE ENERO 2024</t>
  </si>
  <si>
    <t>INSTALACION ARCHICAD</t>
  </si>
  <si>
    <t>16 DE ENERO 2023</t>
  </si>
  <si>
    <t>TECLADO</t>
  </si>
  <si>
    <t>CAMBIO DE FUENTE DE PODER Y MANTENIMIENTO</t>
  </si>
  <si>
    <t>TOSTADA KAALI</t>
  </si>
  <si>
    <t>18 de ENERO 2024</t>
  </si>
  <si>
    <t>VENTA DE DISCO DURO 480 GB</t>
  </si>
  <si>
    <t xml:space="preserve">DISCO DURO </t>
  </si>
  <si>
    <t>18 DE ENERO 2024</t>
  </si>
  <si>
    <t>19 DE ENERO 2024</t>
  </si>
  <si>
    <t>CAMBIO DE DISPLAY A LAPTOP HP</t>
  </si>
  <si>
    <t>DISPLAY</t>
  </si>
  <si>
    <t>VENTA DE DISCO DURO EXTERNO 1 TB + RESPALDO</t>
  </si>
  <si>
    <t>DISCO DURO EXTERNO</t>
  </si>
  <si>
    <t xml:space="preserve">19 DE ENERO 2024 </t>
  </si>
  <si>
    <t>MANTENIMIENTO A CPU E INSTALACION DE OFFICE CEMENTERA</t>
  </si>
  <si>
    <t>20 DE ENERO 2024</t>
  </si>
  <si>
    <t>CAMBIO SSD 500 GB M2 MAS MANTENIMIENTO</t>
  </si>
  <si>
    <t>DISCO DURO M2</t>
  </si>
  <si>
    <t>22 DE ENERO 2024</t>
  </si>
  <si>
    <t xml:space="preserve">INSTALACION DE PROGRAMAS GALERNA </t>
  </si>
  <si>
    <t>CONFIGURACION LAPTOP PRIMERA VEZ Y OFFICE</t>
  </si>
  <si>
    <t xml:space="preserve">MANTENIMIENTO A CPU DIGARDA </t>
  </si>
  <si>
    <t>DIGARDA</t>
  </si>
  <si>
    <t>23 DE ENERO 2024</t>
  </si>
  <si>
    <t>CAMBIO DE JACK Y VISAGRAS</t>
  </si>
  <si>
    <t>JACK Y RAUL</t>
  </si>
  <si>
    <t xml:space="preserve">23 DE ENERO 2024 </t>
  </si>
  <si>
    <t>24 DE ENERO 2024</t>
  </si>
  <si>
    <t>LIMPIEZA HP ROJA</t>
  </si>
  <si>
    <t>25 DE ENERO 2024</t>
  </si>
  <si>
    <t xml:space="preserve">CAMBIO DE GABINETE Y MANTENIMIENTO </t>
  </si>
  <si>
    <t>30 DE ENERO 2024</t>
  </si>
  <si>
    <t>MANTENIMIENTO PC GAMER</t>
  </si>
  <si>
    <t>CELULAR OFICINA</t>
  </si>
  <si>
    <t>31 DE ENERO 2024</t>
  </si>
  <si>
    <t>LAPTOP HP EN CORTO</t>
  </si>
  <si>
    <t>LAPTOP TOSHIBA SSD 240 GB MANTENIMIENTO Y CARGADOR</t>
  </si>
  <si>
    <t>CARGADOR</t>
  </si>
  <si>
    <t>LAPTOP HACER DIAGNOSTICO</t>
  </si>
  <si>
    <t>02 DE FEBRERO 2024</t>
  </si>
  <si>
    <t>M2 500 GB KINGSTONE</t>
  </si>
  <si>
    <t>CAMBIO DISCO DURO SSD 500 GB M2 HP</t>
  </si>
  <si>
    <t>28 DE FEBRERO 2024</t>
  </si>
  <si>
    <t>25 DE FEBRERO 2024</t>
  </si>
  <si>
    <t>09 DE FEBRERO 2024</t>
  </si>
  <si>
    <t>16 DE FEBRERO 2024</t>
  </si>
  <si>
    <t>23 DE FEBRERO 2024</t>
  </si>
  <si>
    <t xml:space="preserve">CAMBIO DISCO DURO SSD 480 GB </t>
  </si>
  <si>
    <t xml:space="preserve">DISCO DURO ADATA </t>
  </si>
  <si>
    <t>06 DE FEBRERO 2024</t>
  </si>
  <si>
    <t>MANTENIMIENTO CPU GAMER</t>
  </si>
  <si>
    <t>08 DE FEBRERO 2024</t>
  </si>
  <si>
    <t xml:space="preserve">CAMBIO A SSD 240 GB LAPTOP </t>
  </si>
  <si>
    <t>15 DE FEBRERO 2024</t>
  </si>
  <si>
    <t>18 DE FEBRERO 2024</t>
  </si>
  <si>
    <t>CAMBIO TECLADO Y MANTENIMIENTO NITRO</t>
  </si>
  <si>
    <t xml:space="preserve">TECLADO </t>
  </si>
  <si>
    <t>19 DE FEBRERO 2024</t>
  </si>
  <si>
    <t>COMPUTADORA ALL IN ONE MEMORIA RAM Y DISCO DURO 240 GB</t>
  </si>
  <si>
    <t>SSD 240 GB Y MEMORIA RAM</t>
  </si>
  <si>
    <t>LAPTOP LENOVO 240 GB SSD Y REPARACION VISAGRAS</t>
  </si>
  <si>
    <t>TALLER RAUL Y SSD 240 GB</t>
  </si>
  <si>
    <t>24 DE FEBRERO 2024</t>
  </si>
  <si>
    <t>FORMATEO LAPTOP DELL REAL DEL VALLE</t>
  </si>
  <si>
    <t>INSTALACION OFFICE DOS COMPUS</t>
  </si>
  <si>
    <t>CENDI GUARDERIAS</t>
  </si>
  <si>
    <t xml:space="preserve">ACOMODO TARJETA WIFI </t>
  </si>
  <si>
    <t xml:space="preserve">VISAGRAS LAPTOP DELL </t>
  </si>
  <si>
    <t xml:space="preserve">TALLER RAUL </t>
  </si>
  <si>
    <t xml:space="preserve">MANTENIMIENTO A MAC </t>
  </si>
  <si>
    <t>26 DE FEBRERO 2024</t>
  </si>
  <si>
    <t>VENTA PC Y CONFIGURACION PALERMO</t>
  </si>
  <si>
    <t>COMPONENTES</t>
  </si>
  <si>
    <t>GANANCIA PALERMO</t>
  </si>
  <si>
    <t>COMISION POR VENTA</t>
  </si>
  <si>
    <t>PAGO AGPE GESTION</t>
  </si>
  <si>
    <t>27 DE FEBRERO 2024</t>
  </si>
  <si>
    <t>MANTENIMIENTO LAPTOP GAMER</t>
  </si>
  <si>
    <t>29 DE FEBRERO 2024</t>
  </si>
  <si>
    <t>LAPTOP DELL SSD 240 GB</t>
  </si>
  <si>
    <t>04 DE MARZO 2024</t>
  </si>
  <si>
    <t xml:space="preserve">VENTA DE CPU </t>
  </si>
  <si>
    <t>PIEZAS PARA ARMAR CPU</t>
  </si>
  <si>
    <t>05 DE MARZO 2024</t>
  </si>
  <si>
    <t>INSTALACION DE OFFICE</t>
  </si>
  <si>
    <t>08 DE MARZO 2024</t>
  </si>
  <si>
    <t>22 DE MARZO 2024</t>
  </si>
  <si>
    <t>29 DE MARZO 2024</t>
  </si>
  <si>
    <t>31 DE MARZO 2024</t>
  </si>
  <si>
    <t>PRESTAMO OFICINA ULTIMO PAGO</t>
  </si>
  <si>
    <t xml:space="preserve">INSTALACION OFFICE Y CONFIGURACION </t>
  </si>
  <si>
    <t>CAMBIO DISCO SSD 240 GB + CONFIGURACION CONTPAQ I</t>
  </si>
  <si>
    <t xml:space="preserve">ENTRETENIMIENTO PALERMO </t>
  </si>
  <si>
    <t>06 DE MARZO 2024</t>
  </si>
  <si>
    <t xml:space="preserve">MONITOR LG </t>
  </si>
  <si>
    <t>MONITOR</t>
  </si>
  <si>
    <t>MANTENIMIENTO A LAPTOP QUE SE CONGELABA</t>
  </si>
  <si>
    <t>CAMBIO SSD 960 GB MAS INSTALACION</t>
  </si>
  <si>
    <t>CAMBIO BATERIA MANTENIMIENTO Y CARGADOR</t>
  </si>
  <si>
    <t>BATERIA Y CARGADOR</t>
  </si>
  <si>
    <t>12 DE MARZO 2024</t>
  </si>
  <si>
    <t>CAMBIO DE TARJETA MADRE E INSTALACION</t>
  </si>
  <si>
    <t>14 DE MARZO 2024</t>
  </si>
  <si>
    <t>MONITOR LG</t>
  </si>
  <si>
    <t>TARJETA MADRE</t>
  </si>
  <si>
    <t>13 DE MARZO 2024</t>
  </si>
  <si>
    <t>18 DE MARZO 2024</t>
  </si>
  <si>
    <t>PRESTAMO MERCADOLIBRE</t>
  </si>
  <si>
    <t>MANTENIMIENTO LAPTOP KAREN</t>
  </si>
  <si>
    <t>CAMBIO DISCO SSD 240 GB + VISAGRAS</t>
  </si>
  <si>
    <t>OFFICE</t>
  </si>
  <si>
    <t>24 DE MARZO 2024</t>
  </si>
  <si>
    <t>PROGRAMAS Y MANTENIMIENTO</t>
  </si>
  <si>
    <t>25 DE MARZO 2024</t>
  </si>
  <si>
    <t>CAMBIO DE FUENTE DE PODER SLIM</t>
  </si>
  <si>
    <t xml:space="preserve">CAMBIO DE DISPLAY </t>
  </si>
  <si>
    <t>26 DE MARZO 2024</t>
  </si>
  <si>
    <t>INSTALACION CONTPAQ I CONFIGURACION</t>
  </si>
  <si>
    <t>PROGRAMA CONTPAQ I</t>
  </si>
  <si>
    <t>PROVEEDOR CONTPAQ</t>
  </si>
  <si>
    <t>MANTENIMIENTO LAPTOP LEGION</t>
  </si>
  <si>
    <t>02 DE ABRIL 2024</t>
  </si>
  <si>
    <t>OFFICE INSTALACION</t>
  </si>
  <si>
    <t>03 DE ABRIL 2024</t>
  </si>
  <si>
    <t>VENTA CPU</t>
  </si>
  <si>
    <t>PIEZAS PC</t>
  </si>
  <si>
    <t>CAMBIO DE DISCO DURO SSD 480 GB</t>
  </si>
  <si>
    <t xml:space="preserve">IBARRA MANJARREZ Y CIA </t>
  </si>
  <si>
    <t>GASTOS ABRIL 2024</t>
  </si>
  <si>
    <t>05 DE ABRIL 2024</t>
  </si>
  <si>
    <t>12 DE ABRIL 2024</t>
  </si>
  <si>
    <t>19 DE ABRIL 2024</t>
  </si>
  <si>
    <t>22 DE ABRIL 2024</t>
  </si>
  <si>
    <t>18 DE ABRIL 2024</t>
  </si>
  <si>
    <t>26 DE ABRIL 2024</t>
  </si>
  <si>
    <t>29 DE ABRIL 2024</t>
  </si>
  <si>
    <t>30 DE ABRIL 2024</t>
  </si>
  <si>
    <t>ACTUALIZACION CPU LAVANDERIA</t>
  </si>
  <si>
    <t>LAVANDERIA REVOLUCION</t>
  </si>
  <si>
    <t xml:space="preserve">CAMBIO DE CARCASA LAPTOP HP </t>
  </si>
  <si>
    <t>CARCASA VISAGRAS ETC</t>
  </si>
  <si>
    <t>04 DE ABRIL 2024</t>
  </si>
  <si>
    <t>CPU RAM Y SSD 480 GB</t>
  </si>
  <si>
    <t>DISCO DURO Y MEMORIA RAM</t>
  </si>
  <si>
    <t>09 DE ABRIL 2024</t>
  </si>
  <si>
    <t>FUENTE DE PODER CAMBIO</t>
  </si>
  <si>
    <t xml:space="preserve">MANTENIMIENTO LAPTOP HP </t>
  </si>
  <si>
    <t>10 DE ABRIL 2024</t>
  </si>
  <si>
    <t>CPU EXOTICA SSD 120 GB Y FUENTE</t>
  </si>
  <si>
    <t>SSD 120 GB Y FUENTE</t>
  </si>
  <si>
    <t>VENTILADOR Y RAUL</t>
  </si>
  <si>
    <t>CAMBIO DE VENTILADOR, MANTENIMIENTO Y VISAGRAS HP AZUL</t>
  </si>
  <si>
    <t>PC GAMER CAMBIO DE DISCO DURO M2 Y MANTENIMIENTO</t>
  </si>
  <si>
    <t>ESTUDIO DE DISEÑO</t>
  </si>
  <si>
    <t>SSD 1 TB M2</t>
  </si>
  <si>
    <t>LIMPIEZA CORRECTIVA ACER NITRO</t>
  </si>
  <si>
    <t>CAMBIO DISCO DURO SSD 240 GB  COMPUTADORA CENTRO</t>
  </si>
  <si>
    <t xml:space="preserve">MANTENIMIENTO A CPU GAMER </t>
  </si>
  <si>
    <t>MANTENIMIENTO A HP OMEN Y CAMBIO DE BATERIA</t>
  </si>
  <si>
    <t>BATERIA GENERICA</t>
  </si>
  <si>
    <t>11 DE ABRIL 2024</t>
  </si>
  <si>
    <t xml:space="preserve">REPARACION DE VISAGRAS LAPTOP </t>
  </si>
  <si>
    <t>25 DE ABRIL 2024</t>
  </si>
  <si>
    <t>CPU MANTENIMIENTO</t>
  </si>
  <si>
    <t>GASTOS MAYO 2024</t>
  </si>
  <si>
    <t>03 DE MAYO 2024</t>
  </si>
  <si>
    <t>10 DE MAYO 2024</t>
  </si>
  <si>
    <t>17 DE MAYO 2024</t>
  </si>
  <si>
    <t>22 DE MAYO 2024</t>
  </si>
  <si>
    <t>24 DE MAYO 2024</t>
  </si>
  <si>
    <t>31 DE MAYO 2024</t>
  </si>
  <si>
    <t>VISAGRAS REPARACION DELL GRIS</t>
  </si>
  <si>
    <t xml:space="preserve">RESPALDO BIOMARINA </t>
  </si>
  <si>
    <t>06 DE MAYO 2024</t>
  </si>
  <si>
    <t>AUMENTO DE RAM 8 GB DDR4 MAS FORMATEO Y LIMPIEZA</t>
  </si>
  <si>
    <t>MEMORIA RAM  8GB DDR4</t>
  </si>
  <si>
    <t>09 DE MAYO 2024</t>
  </si>
  <si>
    <t>INSTALACION DE PROGRAMAS</t>
  </si>
  <si>
    <t xml:space="preserve">MANTENIMIENTO LAPTOP </t>
  </si>
  <si>
    <t>13 DE MAYO 2024</t>
  </si>
  <si>
    <t>SSD 500 GB M2</t>
  </si>
  <si>
    <t>01 DE MAYO 2024</t>
  </si>
  <si>
    <t>14 DE MAYO 2024</t>
  </si>
  <si>
    <t>MONITOR 18 PULGADAS</t>
  </si>
  <si>
    <t>2 MINILAPTOP DINORA</t>
  </si>
  <si>
    <t>M2 SSD 500 GB LAPTOP DELL + CARCASA</t>
  </si>
  <si>
    <t>18 DE MAYO 2024</t>
  </si>
  <si>
    <t>MANTENIMIENTO A CPU Y VENTILADOR</t>
  </si>
  <si>
    <t>SOPORTE TECNICO ALEXANDRO</t>
  </si>
  <si>
    <t>20 DE MAYO 2024</t>
  </si>
  <si>
    <t>TARJETA Y PROCESADOR</t>
  </si>
  <si>
    <t>CAMBIO FUENTE DE PODER</t>
  </si>
  <si>
    <t>23 DE MAYO 2024</t>
  </si>
  <si>
    <t>CAMBIO DE MEMORIA RAM 8 GB DDR4 MAS MANTENIMIENTO</t>
  </si>
  <si>
    <t>CONTPAQ I CONTABILIDAD Y CAMBIO A SSD 500 GB</t>
  </si>
  <si>
    <t>FORMATEO LAPTOP SIN RESPALDO + MANTENIMIENTO</t>
  </si>
  <si>
    <t>25 DE MAYO 2024</t>
  </si>
  <si>
    <t>INSTALACION DE SOFTWARE DE TALLER</t>
  </si>
  <si>
    <t>28 DE MAYO 2024</t>
  </si>
  <si>
    <t>FORMATEO Y LIMPIEZA DELL ROJA</t>
  </si>
  <si>
    <t>SOPORTE TECNICO EXOTICA</t>
  </si>
  <si>
    <t>07 DE JUNIO 2024</t>
  </si>
  <si>
    <t>14 DE JUNIO 2024</t>
  </si>
  <si>
    <t>21 DE JUNIO 2024</t>
  </si>
  <si>
    <t>28 DE JUNIO 2024</t>
  </si>
  <si>
    <t>04 DE JUNIO 2024</t>
  </si>
  <si>
    <t>SOPORTE TECNICO DIGARDA</t>
  </si>
  <si>
    <t>05 DE JUNIO 2024</t>
  </si>
  <si>
    <t xml:space="preserve">MANTENIMIENTO DELL </t>
  </si>
  <si>
    <t>06 DE JUNIO 2024</t>
  </si>
  <si>
    <t>VENTA CPU CORE I3</t>
  </si>
  <si>
    <t>MONITOR Y PIEZAS</t>
  </si>
  <si>
    <t>GASTOS JUNIO 2024</t>
  </si>
  <si>
    <t>CAMBIO DE PANTALLA LAPTOP</t>
  </si>
  <si>
    <t xml:space="preserve">07 DE JUNIO 2024 </t>
  </si>
  <si>
    <t xml:space="preserve">MANTENIMIENTO LAPTOP ASUS </t>
  </si>
  <si>
    <t>CABLE DE CORRIENTE  MAS SOPORTE</t>
  </si>
  <si>
    <t>16 DE JUNIO 2024</t>
  </si>
  <si>
    <t>PALERMO CAMBIO SSD 480 GB MAS SOPORTE PC VICTOR</t>
  </si>
  <si>
    <t>PALERMO</t>
  </si>
  <si>
    <t>18 DE JUNIO 2024</t>
  </si>
  <si>
    <t>CAMBIO SSD 1 TB MAS INSTALACION DE PROGRAMAS</t>
  </si>
  <si>
    <t>SSD 1TB</t>
  </si>
  <si>
    <t>19 DE JUNIO 2024</t>
  </si>
  <si>
    <t>REPARACION TABLET</t>
  </si>
  <si>
    <t>20 DE JUNIO 2024</t>
  </si>
  <si>
    <t xml:space="preserve">MANTENIMIENTO PC DELL </t>
  </si>
  <si>
    <t>AUMENTO DE RAM A 16 GB Y REPARACION VISAGRAS</t>
  </si>
  <si>
    <t>ALFONSO BRITO</t>
  </si>
  <si>
    <t>MEMORIA RAM 16GB</t>
  </si>
  <si>
    <t>MANTENIMIENTO A BRIX</t>
  </si>
  <si>
    <t>25 DE JUNIO 2024</t>
  </si>
  <si>
    <t>INSTALACIION DE PROGRAMAS VICTOR DE RUEDA</t>
  </si>
  <si>
    <t>26 DE JUNIO 2024</t>
  </si>
  <si>
    <t>FORMATEO LAPTOP OMEN</t>
  </si>
  <si>
    <t>CAMBIO SSD 480 GB MAS MANTENIMIENTO</t>
  </si>
  <si>
    <t>27 DE JUNIO 2024</t>
  </si>
  <si>
    <t>RESPALDOS DE MAR Y TIERRA</t>
  </si>
  <si>
    <t>MAR Y TIERRA</t>
  </si>
  <si>
    <t>TIERRA ARMADA</t>
  </si>
  <si>
    <t>09 DE JULIO 2024</t>
  </si>
  <si>
    <t>MANTENIMIENTO DOS PC MAR Y TIERRA</t>
  </si>
  <si>
    <t>LAPTOP HP GRIS SSD 1 TB MAS 16 GB DE RAM</t>
  </si>
  <si>
    <t>MEMORIA RAM Y SSD 1 TB</t>
  </si>
  <si>
    <t>12 DE JULIO 2024</t>
  </si>
  <si>
    <t>06 DE JULIO 2024</t>
  </si>
  <si>
    <t>13 DE JULIO 2024</t>
  </si>
  <si>
    <t>22 DE JULIO 2024</t>
  </si>
  <si>
    <t>27 DE JULIO 2024</t>
  </si>
  <si>
    <t>31 DE JULIO 2024</t>
  </si>
  <si>
    <t>11 DE JULIO 2024</t>
  </si>
  <si>
    <t xml:space="preserve">FORMATEO LAPTOP </t>
  </si>
  <si>
    <t>15 DE JULIO 2024</t>
  </si>
  <si>
    <t>PC ARMADA PARA INGENIERIA</t>
  </si>
  <si>
    <t>PIEZAS LAPTOP</t>
  </si>
  <si>
    <t>16 DE JULIO 2024</t>
  </si>
  <si>
    <t>MEMORIAS RAM 16 GB DDR4</t>
  </si>
  <si>
    <t>CONSTRUCTORA COGAM</t>
  </si>
  <si>
    <t xml:space="preserve">MEMORIAS RAM </t>
  </si>
  <si>
    <t>17 DE JULIO 2024</t>
  </si>
  <si>
    <t>REPARACION ALL IN ONE LENOVO</t>
  </si>
  <si>
    <t>18 DE JULIO 2024</t>
  </si>
  <si>
    <t xml:space="preserve">CAMBIO DE FUENTE DE PODER </t>
  </si>
  <si>
    <t>21 DE JULIO 2024</t>
  </si>
  <si>
    <t>PC ALL IN ONE 240 GB SSD Y 8 GB DE RAM DDR3</t>
  </si>
  <si>
    <t xml:space="preserve">CAMBIO DE MEMORIAS RAM DDR4 EN </t>
  </si>
  <si>
    <t>COGARM</t>
  </si>
  <si>
    <t>MEMORIAS RAM DDR4 Y DDR5</t>
  </si>
  <si>
    <t>25 DE JULIO 2024</t>
  </si>
  <si>
    <t>INSTALACION DE GRAFICA Y PROCESADOR EN PC</t>
  </si>
  <si>
    <t>26 DE JULIO 2024</t>
  </si>
  <si>
    <t>ACCESORIOS EN MOVIMIENTO</t>
  </si>
  <si>
    <t>MANTENIMIENTO A  10 PCS EXOTICA</t>
  </si>
  <si>
    <t>COMPRAMOS COSAS PARA LA OFI</t>
  </si>
  <si>
    <t>MANTENIMIENTO A LAPTOP DELL BLANCA</t>
  </si>
  <si>
    <t>29 DE JULIO 2024</t>
  </si>
  <si>
    <t>FORMATEO CON RESPALDO LAPTOP VENADOS</t>
  </si>
  <si>
    <t>COMPUTADORA ALL IN ONE SSD 256 MAS MEMORIA RAM Y RESPALDO</t>
  </si>
  <si>
    <t xml:space="preserve">CAMBIO DE MEMORIA RAM 32 GB </t>
  </si>
  <si>
    <t>MEMORIA RAM 32 GB DDR4</t>
  </si>
  <si>
    <t>REPARACION VISAGRAS HUAWEI</t>
  </si>
  <si>
    <t xml:space="preserve">MANTENIMIENTO A 8 CPU </t>
  </si>
  <si>
    <t>MANTENIMIENTO A 5 LAPTOP</t>
  </si>
  <si>
    <t>MANTENIMIENTO A SERVIDOR</t>
  </si>
  <si>
    <t>30 DE JULIO 2024</t>
  </si>
  <si>
    <t>CAMBIO DE PLACA Y PROCESADOR</t>
  </si>
  <si>
    <t>GENARMEX</t>
  </si>
  <si>
    <t>PIEZAS CT</t>
  </si>
  <si>
    <t>03 DE AGOSTO 2024</t>
  </si>
  <si>
    <t>QUITAR CONTRASEÑA WINDOWS</t>
  </si>
  <si>
    <t>02 DE AGOSTO 2024</t>
  </si>
  <si>
    <t>10 DE AGOSTO 2024</t>
  </si>
  <si>
    <t>17 DE AGOSTO 2024</t>
  </si>
  <si>
    <t>24 DE AGOSTO 2024</t>
  </si>
  <si>
    <t>31 DE AGOSTO 2024</t>
  </si>
  <si>
    <t>GASTOS AGOSTO 2024</t>
  </si>
  <si>
    <t>05 DE AGOSTO 2024</t>
  </si>
  <si>
    <t>CAMBIO DE TAPA Y VISAGRA LAPTOP</t>
  </si>
  <si>
    <t>VISAGRAS Y TAPA</t>
  </si>
  <si>
    <t>SOPORTE TECNICO CAR RENTAL</t>
  </si>
  <si>
    <t>06 DE AGOSTO 2024</t>
  </si>
  <si>
    <t>INSTALACION PROGRAMA VICTUS HP</t>
  </si>
  <si>
    <t>08 DE AGOSTO 2024</t>
  </si>
  <si>
    <t>CAMBIO DE VENTILADOR DELL</t>
  </si>
  <si>
    <t>VENTILADOR</t>
  </si>
  <si>
    <t>04 DE AGOSTO 2024</t>
  </si>
  <si>
    <t>09 DE AGOSTO 2024</t>
  </si>
  <si>
    <t>LEVONO TINK PAD MANTENIMIENTO ( CAMBIO DE PASTA)</t>
  </si>
  <si>
    <t>FORMATEO PAREJO PC GAMER</t>
  </si>
  <si>
    <t>07 DE AGOSTO 2024</t>
  </si>
  <si>
    <t>LAPTOP AZUL ACERVISAGRAS</t>
  </si>
  <si>
    <t>12 DE AGOSTO 2024</t>
  </si>
  <si>
    <t>ENSAMBLADO PC GAMER</t>
  </si>
  <si>
    <t xml:space="preserve">LAVADO DE TARJETA HP </t>
  </si>
  <si>
    <t>MANTENIMIENTO ALL IN ONE LENOVO</t>
  </si>
  <si>
    <t>14 DE AGOSTO 2024</t>
  </si>
  <si>
    <t>VENTA LAPTOP Y CONFIGURACION</t>
  </si>
  <si>
    <t>LAPTOP COMPRA</t>
  </si>
  <si>
    <t xml:space="preserve">CONFIGURACION Y CLONADO DE DISCO </t>
  </si>
  <si>
    <t>VIEJITO ENFADOSO</t>
  </si>
  <si>
    <t>15 DE AGOSTO 2024</t>
  </si>
  <si>
    <t>ACTIVACION OFFICE</t>
  </si>
  <si>
    <t>NO</t>
  </si>
  <si>
    <t>DISCO DURO 480 GB SSD HP BLANCA</t>
  </si>
  <si>
    <t>DISCO DURO 480 GB SSD HP ROSA</t>
  </si>
  <si>
    <t>19 DE AGOSTO 2024</t>
  </si>
  <si>
    <t>CAMBIO DE PANTALLA JOEL CAMACHO</t>
  </si>
  <si>
    <t xml:space="preserve">DISPLAY </t>
  </si>
  <si>
    <t xml:space="preserve">DISCO DURO 480 GB SSD ALL IN ONE </t>
  </si>
  <si>
    <t>CPU NO AGARRA TARJETA DE VIDEO</t>
  </si>
  <si>
    <t>MANTENIMIENTO Y TOUCHPAD NO SIRVE</t>
  </si>
  <si>
    <t>VISAGRAS LENOVO AZUL MARINO</t>
  </si>
  <si>
    <t>DELL LAPTOP AZUL 240 GB SSD CAMBIO Y RESPALDO</t>
  </si>
  <si>
    <t>20 DE AGOSTO 2024</t>
  </si>
  <si>
    <t>ALL IN ONE LENOVO AUMENTO DE RAM 8 GB DDR3</t>
  </si>
  <si>
    <t>LAPTOP HP GRIS QUE SE CONGELA LA PANTALLA</t>
  </si>
  <si>
    <t>INSTALACION DE OFFICE TM CONSULTORES</t>
  </si>
  <si>
    <t>21 DE AGOSTO 2024</t>
  </si>
  <si>
    <t>FORMATEO PAREJO LAPTOP HP PLATA</t>
  </si>
  <si>
    <t>CAMBIO SSD 240 GB LENOVO GRIS</t>
  </si>
  <si>
    <t>CAMBIO SSD 960 GB DELL IBARRA MANJARREZ</t>
  </si>
  <si>
    <t>CAMBIO SSD 480 GB LENOVO NEGRA + 8GB DE RAM</t>
  </si>
  <si>
    <t>22 DE AGOSTO 2024</t>
  </si>
  <si>
    <t>LAPTOP DELL AZUL VISAGRAS</t>
  </si>
  <si>
    <t>LAPTOP ROG NO DETECTA LA GRAFICA</t>
  </si>
  <si>
    <t>?</t>
  </si>
  <si>
    <t>COMPRA DE ENFRIAMIENTO LIQUIDO</t>
  </si>
  <si>
    <t>ENFRIAMIENTO</t>
  </si>
  <si>
    <t>JUST GAMING</t>
  </si>
  <si>
    <t>23 DE AGOSTO 2024</t>
  </si>
  <si>
    <t xml:space="preserve">MANTENIMIENTO Y OFFICE MSI </t>
  </si>
  <si>
    <t>26 DE AGOSTO 2024</t>
  </si>
  <si>
    <t>LAPTOP HP SSD 240 GB Y MANTENIMIENTO</t>
  </si>
  <si>
    <t>GABINETE XPG</t>
  </si>
  <si>
    <t>CAMBIO DE BATERIA HP PLATEADA ITALIANO</t>
  </si>
  <si>
    <t>ML NUU PAGO</t>
  </si>
  <si>
    <t xml:space="preserve">LAPTOP CAMBIO A SSD 1 TB </t>
  </si>
  <si>
    <t>SSD 1 TB</t>
  </si>
  <si>
    <t>PAGO BENJAMIN</t>
  </si>
  <si>
    <t>06 DE SEPTIEMBRE 2024</t>
  </si>
  <si>
    <t>12 DE SEPTIEMBRE 2024</t>
  </si>
  <si>
    <t>20 DE SEPTIEMBRE 2024</t>
  </si>
  <si>
    <t>22 DE SEPTIEMBRE 2024</t>
  </si>
  <si>
    <t>27 DE SEPTIEMBRE 2024</t>
  </si>
  <si>
    <t>30 DE SEPTIEMBRE 2024</t>
  </si>
  <si>
    <t>02 DE SEPTIEMBRE 2024</t>
  </si>
  <si>
    <t>CAMBIO DE DISPLAY LAPTOP LENOVO</t>
  </si>
  <si>
    <t>NUU PAGO</t>
  </si>
  <si>
    <t>LAPTOP LENOVO GRIS</t>
  </si>
  <si>
    <t>LAPTOP CAMBIO DE BATERIA HP GRIS</t>
  </si>
  <si>
    <t>BATERIA HP VSL03</t>
  </si>
  <si>
    <t xml:space="preserve">ML </t>
  </si>
  <si>
    <t>CAMBIO DE GABINETE Y FUENTE CPU</t>
  </si>
  <si>
    <t>03 DE SEPTIEMBRE 2024</t>
  </si>
  <si>
    <t>MANTENIMIENTO ALL IN ONE ROMMEL IBARRA MANJARREZ</t>
  </si>
  <si>
    <t>GABINETE Y FUENTE</t>
  </si>
  <si>
    <t>CAMBIO DE GABINETE  MUCHACHA</t>
  </si>
  <si>
    <t>11 DE SEPTIEMBRE 2024</t>
  </si>
  <si>
    <t xml:space="preserve">CAMBIO DE DISPLAY LAPTOP RODRIGO </t>
  </si>
  <si>
    <t>13 DE SEPTIEMBRE 2024</t>
  </si>
  <si>
    <t>LAPTOP ACER ROJA SSD 240 gb</t>
  </si>
  <si>
    <t xml:space="preserve">ARMADO DE CPU CON MONITOR </t>
  </si>
  <si>
    <t>17 DE SEPTIEMBRE 2024</t>
  </si>
  <si>
    <t>BATERIA Y MANTENIMIENTO HP ROJA</t>
  </si>
  <si>
    <t>BATERIA ORIGINAL HP</t>
  </si>
  <si>
    <t>18 DE SEPTIEMBRE 2024</t>
  </si>
  <si>
    <t>SSD 240 GB LENOVO GRIS</t>
  </si>
  <si>
    <t>MANTENIMIENTO A CPU INGENIEROS EL CIELO RESIDENCIAL CPU 1</t>
  </si>
  <si>
    <t>MANTENIMIENTO INSTALACION AUTOCAD</t>
  </si>
  <si>
    <t>EL CIELO RESIDENCIAL</t>
  </si>
  <si>
    <t>AUTOCAD Y OFFICE PC BLANCA</t>
  </si>
  <si>
    <t>23 DE SEPTIEMBRE 2024</t>
  </si>
  <si>
    <t xml:space="preserve">QUITAR CONTRASEÑA DELL </t>
  </si>
  <si>
    <t>24 DE SEPTIEMBRE 2024</t>
  </si>
  <si>
    <t>FORMATEO LAPTOP CON CLAVE Y RESPALDO</t>
  </si>
  <si>
    <t>INSTALACION ANTIVIRUS CELULAR</t>
  </si>
  <si>
    <t>FORMATEO DE LAPTOP HP E INSTALACION ANTIVIRUS</t>
  </si>
  <si>
    <t>ANTIVIRUS</t>
  </si>
  <si>
    <t>BENJAMIN PAGO</t>
  </si>
  <si>
    <t>26 DE SEPTIEMBRE 2024</t>
  </si>
  <si>
    <t xml:space="preserve">CAMBIO DE DISPLAY DELL </t>
  </si>
  <si>
    <t>MANTENIMIENTO A 3 LAPTOP THINKPAD</t>
  </si>
  <si>
    <t>SISTEMAS CONTINUOS</t>
  </si>
  <si>
    <t>FORMATEO TOSHIBA VIEJITA + VISAGRAS</t>
  </si>
  <si>
    <t>CAMBIO SSD 240 GB ALL IN ONE</t>
  </si>
  <si>
    <t xml:space="preserve">CAMBIO DE MEMORIAS RAM DDR5 32 GB </t>
  </si>
  <si>
    <t>COGAM</t>
  </si>
  <si>
    <t>GASTOS OCTUBRE 2024</t>
  </si>
  <si>
    <t>04 DE OCTUBRE 2024</t>
  </si>
  <si>
    <t>11 DE OCTUBRE 2024</t>
  </si>
  <si>
    <t>18 DE OCTUBRE 2024</t>
  </si>
  <si>
    <t>25 DE OCTUBRE 2024</t>
  </si>
  <si>
    <t>22 DE OCTUBRE 2024</t>
  </si>
  <si>
    <t>30 DE OCTUBRE 2024</t>
  </si>
  <si>
    <t>2 MEMORIAS RAM DDR5</t>
  </si>
  <si>
    <t>10 DE OCTUBRE 2024</t>
  </si>
  <si>
    <t xml:space="preserve">CAMBIO DE BATERIA HP </t>
  </si>
  <si>
    <t>BATERIA HP</t>
  </si>
  <si>
    <t>09 DE OCTUBRE 2024</t>
  </si>
  <si>
    <t>CAMBIO DE BATERIA Y UN SSD 480 GB</t>
  </si>
  <si>
    <t>BATERIA ASUS Y SSD 480</t>
  </si>
  <si>
    <t>SOPORTE TECNICO MUDANZA DE OFICINA UPA</t>
  </si>
  <si>
    <t xml:space="preserve">CAMBIO DE PLACA DELL, MANTENIMIENTO Y MEMORIA RAM </t>
  </si>
  <si>
    <t>CAMBIO SSD 240 GB M2 LAPTOP Y MANTENIMIENTO</t>
  </si>
  <si>
    <t>17 DE OCTUBRE 2024</t>
  </si>
  <si>
    <t xml:space="preserve">FORMATEO Y MANTNIMIENTO LAPTOP HP </t>
  </si>
  <si>
    <t>24 DE OCTUBRE 2024</t>
  </si>
  <si>
    <t>LIMPIEZA INTERNA PC GAMER</t>
  </si>
  <si>
    <t>31 DE OCTUBRE 2024</t>
  </si>
  <si>
    <t>CAMBIO SSD 240 GB PC PARA PUNTO DE VENTA</t>
  </si>
  <si>
    <t>FORMATEO LAPTOP QUE BORRO LA INFO EL DISCO</t>
  </si>
  <si>
    <t>04 DE NOVIEMBRE 2024</t>
  </si>
  <si>
    <t>CAMBIO SSD 480 GB M2 LAPTOP HUAWEI</t>
  </si>
  <si>
    <t>05 DE NOVIEMBRE 2024</t>
  </si>
  <si>
    <t>GASTOS NOVIEMBRE 2024</t>
  </si>
  <si>
    <t>PC QUE NO DA VIDEO FALTA MTO</t>
  </si>
  <si>
    <t>06 DE NOVIEMBRE 2024</t>
  </si>
  <si>
    <t>LAPTOP CHROMEBOOK</t>
  </si>
  <si>
    <t xml:space="preserve">CAMBIO TECLADO DELL </t>
  </si>
  <si>
    <t>TECLADO NUEVO</t>
  </si>
  <si>
    <t>13 DE NOVIEMBRE 2024</t>
  </si>
  <si>
    <t>FORMATEO LAPTOP GAMER Y PROGRAMA CENEVAL</t>
  </si>
  <si>
    <t>02 DE NOVIEMBRE 2024</t>
  </si>
  <si>
    <t>09 DE NOVIEMBRE 2024</t>
  </si>
  <si>
    <t>16 DE NOVIEMBRE 2024</t>
  </si>
  <si>
    <t>23 DE NOVIEMBRE 2024</t>
  </si>
  <si>
    <t>14 DE NOVIEMBRE 2024</t>
  </si>
  <si>
    <t>INSTALACION TARJETA DE VIDEO EN PC GAMER</t>
  </si>
  <si>
    <t>15 DE NOVIEMBRE 2024</t>
  </si>
  <si>
    <t>QUITAR VIRUS</t>
  </si>
  <si>
    <t>JACK DE DELL INSTALACION PIEZA</t>
  </si>
  <si>
    <t>JACK DELL</t>
  </si>
  <si>
    <t>AMAZON USA</t>
  </si>
  <si>
    <t>MANTENIMIENTO GENERAL ALLIEN WARE</t>
  </si>
  <si>
    <t>19 DE NOVIEMBRE 2024</t>
  </si>
  <si>
    <t>SERVICIO COMPLETO A 4 LAPTOPS</t>
  </si>
  <si>
    <t>20 DE NOVIEMBRE 2024</t>
  </si>
  <si>
    <t>CAMBIO SSD 500 GB M2 LAPTOP LENOVO QOO</t>
  </si>
  <si>
    <t>22 DE NOVIEMBRE 2024</t>
  </si>
  <si>
    <t>LAPTOP VICTUS QUE NO DA VIDEO</t>
  </si>
  <si>
    <t>30 DE NOVIEMBRE 2024</t>
  </si>
  <si>
    <t>25 DE NOVIEMBRE 2024</t>
  </si>
  <si>
    <t>26 DE NOVIEMBRE 2024</t>
  </si>
  <si>
    <t>CAMBIO SSD 480 GB MAS 4 GB DE DDR3</t>
  </si>
  <si>
    <t>MEMORIA RAM DDR3 Y SSD 480 GB</t>
  </si>
  <si>
    <t>ML E INVENTARIO</t>
  </si>
  <si>
    <t>JACK DELL INSTALACION PIEZA Y MANTENIMIENTO</t>
  </si>
  <si>
    <t>JACK DELL PEDIDO</t>
  </si>
  <si>
    <t xml:space="preserve">FORMATEO LAPTOP ROJA </t>
  </si>
  <si>
    <t>TARJETA WIFI INSTALACION</t>
  </si>
  <si>
    <t>TARJETA WIFI</t>
  </si>
  <si>
    <t>27 DE NOVIEMBRE 2024</t>
  </si>
  <si>
    <t xml:space="preserve">INSTALACION DE CONTPAQ I </t>
  </si>
  <si>
    <t>CONTPAQ I ACTIVADOR</t>
  </si>
  <si>
    <t xml:space="preserve">LIMPIEZA DE CPU VIEJITO DELL </t>
  </si>
  <si>
    <t>29 DE NOVIEMBRE 2024</t>
  </si>
  <si>
    <t>LAPTOP HP SRA MONICA SSD 240 GB</t>
  </si>
  <si>
    <t>GASTOS DICIEMBRE 2024</t>
  </si>
  <si>
    <t>07 DE DICIEMBRE 2024</t>
  </si>
  <si>
    <t>14 DE DICIEMBRE 2024</t>
  </si>
  <si>
    <t>21 DE DICIEMBRE 2024</t>
  </si>
  <si>
    <t>AGUINALDO  BENJAMIN</t>
  </si>
  <si>
    <t>23 DE DICIEMBRE 2024</t>
  </si>
  <si>
    <t>31 DE DICIEMBRE 2024</t>
  </si>
  <si>
    <t>28 DE DICIEMBRE 2024</t>
  </si>
  <si>
    <t>PAGOS TARJETA NUUU</t>
  </si>
  <si>
    <t>PCYLAP LE DEBE A BENJAMIN 3,850 PESOS</t>
  </si>
  <si>
    <t xml:space="preserve">LAPTOP HP BLANCA SSD 240 Y LIMPIEZA </t>
  </si>
  <si>
    <t>01 DE DICIEMBRE 2024</t>
  </si>
  <si>
    <t>LENOVO BLANCA VISAGRAS OFFICE Y LIMPIEZA</t>
  </si>
  <si>
    <t xml:space="preserve">RAUL TALLER </t>
  </si>
  <si>
    <t>DELL PLATA NO ENCIENDE POR DIAGNOSTICAR</t>
  </si>
  <si>
    <t>DELL AZUL QUE NO ENCIENDE POR DIAGNOSTICAR</t>
  </si>
  <si>
    <t>CAMBIO DE DISCO DURO A 480 GB SSD TM CONSULTORES</t>
  </si>
  <si>
    <t>TM CONSULTORES</t>
  </si>
  <si>
    <t>INSTALACION PROGRAMAS VARIOS</t>
  </si>
  <si>
    <t>DEUDA CON BENJAMIN</t>
  </si>
  <si>
    <t>12 DE DICIEMBRE 2024</t>
  </si>
  <si>
    <t>CAMBIO DE BATERIA Y TECLADO Y VISAGRAS HP</t>
  </si>
  <si>
    <t>TECLADO Y BATERIA Y VISAGRAS</t>
  </si>
  <si>
    <t>ML Y RAUL</t>
  </si>
  <si>
    <t>CAMBIO SSD 480 GB Y MEMORIA RAM  16 GB DDR3</t>
  </si>
  <si>
    <t>ssd 480 gb y memoria ram 8gb</t>
  </si>
  <si>
    <t>ML Y CT</t>
  </si>
  <si>
    <t>06 DE ENERO 2025</t>
  </si>
  <si>
    <t>MACBOOK QUE NO PRENDE</t>
  </si>
  <si>
    <t>GASTOS ENERO 2025</t>
  </si>
  <si>
    <t>25 DE ENERO 2025</t>
  </si>
  <si>
    <t xml:space="preserve">MEMORIAS RAM DDR3 </t>
  </si>
  <si>
    <t>07 DE  ENERO 2025</t>
  </si>
  <si>
    <t>VENTA DE 2 NO BREAK PARA BIOMARINA</t>
  </si>
  <si>
    <t xml:space="preserve">BIOMARINA </t>
  </si>
  <si>
    <t>NO BREAK</t>
  </si>
  <si>
    <t>07 DE ENERO 2025</t>
  </si>
  <si>
    <t>CAMBIO DE FUENTE DE PODER CORSAIR</t>
  </si>
  <si>
    <t>CAMBIO SSD 480 GB Y 16 GB DDR3 COMPUTADORA DIANA KARIME</t>
  </si>
  <si>
    <t>CAMBIO SSD 480 GB Y 16 GB DDR3 COMPUTADORA ERNESTO</t>
  </si>
  <si>
    <t xml:space="preserve">MEMORIAS RAM DDR4 Y 500 GB SSD </t>
  </si>
  <si>
    <t>08 DE ENERO 2025</t>
  </si>
  <si>
    <t>ARMADO DE CPU PARA BIOMARINA</t>
  </si>
  <si>
    <t>15 DE ENERO 2025</t>
  </si>
  <si>
    <t>NOMINA QUINCENAL MIGUEL</t>
  </si>
  <si>
    <t>NOMINA QUINCENAL BENJAMIN</t>
  </si>
  <si>
    <t>31 DE ENERO 2025</t>
  </si>
  <si>
    <t xml:space="preserve">CAMBIO DE DISPLAY HP </t>
  </si>
  <si>
    <t>DISPLAY LAPTOP HP</t>
  </si>
  <si>
    <t>BIOMARINA REPRODUCTIVA</t>
  </si>
  <si>
    <t>09 DE ENERO 2025</t>
  </si>
  <si>
    <t>MONITOR Y KIT TECLADO MOUSE</t>
  </si>
  <si>
    <t>MONITOR Y TECLADO</t>
  </si>
  <si>
    <t>CAMBIO SSD 480 GB Y 16 GB DE DRR4 COMPUTADORA ITZEL</t>
  </si>
  <si>
    <t>10 DE ENERO 2025</t>
  </si>
  <si>
    <t xml:space="preserve">ALL IN ONE DE PROGRAMAS </t>
  </si>
  <si>
    <t>17 DE ENERO 2025</t>
  </si>
  <si>
    <t>CAMBIO DE PANTALLA DE LAPTOP SEGURIDAD</t>
  </si>
  <si>
    <t xml:space="preserve">FORMATEO ALL IN ONE HP </t>
  </si>
  <si>
    <t>PUBLICO EN GENERAL ( CENDI )</t>
  </si>
  <si>
    <t>CAMBIO DE PANTALLA HP DORADA TIA CLAUDIA</t>
  </si>
  <si>
    <t>16 DE ENERO 2025</t>
  </si>
  <si>
    <t xml:space="preserve">AUMENTO DE MEMORIA RAM Y 480 GB SSD A ALL IN ONE </t>
  </si>
  <si>
    <t>PUBLICO EN GENERAL ( CLINICA SAN JORGE)</t>
  </si>
  <si>
    <t>MEMORIAS Y SSD 480</t>
  </si>
  <si>
    <t>20 DE ENERO 2025</t>
  </si>
  <si>
    <t>FORMATEO Y LIMPIEZA DELL GAMER</t>
  </si>
  <si>
    <t xml:space="preserve">PUBLICO EN GENERAL </t>
  </si>
  <si>
    <t xml:space="preserve">CAMBIO DE PANTALLA ASUS </t>
  </si>
  <si>
    <t>MANTENMIENTO Y PEGADO DE VISAGRAS LENOVO NEGRO</t>
  </si>
  <si>
    <t>27 DE ENERO 2025</t>
  </si>
  <si>
    <t>MANTENIMIENTO Y CAMBIO SSD 480 GB</t>
  </si>
  <si>
    <t>28 DE ENERO 2025</t>
  </si>
  <si>
    <t xml:space="preserve">PEGADO DE VISAGRAS HACER </t>
  </si>
  <si>
    <t>FORMATEO LAPTOP HP LICENCIADA</t>
  </si>
  <si>
    <t xml:space="preserve">29 DE ENERO 2025 </t>
  </si>
  <si>
    <t>29 DE ENERO 2025</t>
  </si>
  <si>
    <t>30 DE ENERO 2025</t>
  </si>
  <si>
    <t>MANTENIMIENTO A PC VIEJITA 240 GB SSD Y MEMORIA 2 GB DDR3</t>
  </si>
  <si>
    <t>MANTENIMIENTO A LAPTOP GAMER BLANCA</t>
  </si>
  <si>
    <t>CAMBIO DE TECLADO BATERIA Y SSD 240 GB</t>
  </si>
  <si>
    <t xml:space="preserve">SSD 240 GB MAS TECLADO </t>
  </si>
  <si>
    <t>04 DE FEBRERO 2025</t>
  </si>
  <si>
    <t>LAPTOP HENRY DEJO DE AGARRAR TECLADO Y MOUSE</t>
  </si>
  <si>
    <t>FORMATEO LAPTOP LENOVO DISAV</t>
  </si>
  <si>
    <t>06 DE FEBRERO 2025</t>
  </si>
  <si>
    <t>FORMATEO HP Y LIMPIEZA Y BATERIA</t>
  </si>
  <si>
    <t>LAPTOP VAIO NEGRA FORMATEO</t>
  </si>
  <si>
    <t>MANTENIMIENTO A LAPTOP LEGION LLENA DE HORMIGAS</t>
  </si>
  <si>
    <t>13 DE FEBRERO 2025</t>
  </si>
  <si>
    <t>PC ESCUELA CAMBIO DE MEMORIA RAM 8 GB DDR3 LIMPIEZA Y FUENTE</t>
  </si>
  <si>
    <t>CPU GAMER QUE NO PRENDE EL VENTILADOR DEL DISIPADOR</t>
  </si>
  <si>
    <t>ALL IN ONE 6TO GRADO ESCUELA BENITO JUAREZ</t>
  </si>
  <si>
    <t>DISIPADOR</t>
  </si>
  <si>
    <t>ALL IN ONE 1ER AÑO ESCUELA BENITO JUAREZ</t>
  </si>
  <si>
    <t xml:space="preserve">SSD 240 GB CABLE VGA </t>
  </si>
  <si>
    <t>18 DE FEBRERO 2025</t>
  </si>
  <si>
    <t>18  DE FEBRERO 2025</t>
  </si>
  <si>
    <t>MOUSE PARA ESCUELA</t>
  </si>
  <si>
    <t>MOUSE INALAMBRICO</t>
  </si>
  <si>
    <t>19 DE FEBRERO 2025</t>
  </si>
  <si>
    <t xml:space="preserve">LAPTOP DELL QUE NO AGARRA TECLADO </t>
  </si>
  <si>
    <t>05 DE MARZO 2025</t>
  </si>
  <si>
    <t xml:space="preserve">CAMBIO BATERIA HP </t>
  </si>
  <si>
    <t>BATERIA HP HTL03XL</t>
  </si>
  <si>
    <t>06 DE MARZO 2025</t>
  </si>
  <si>
    <t>FORMATEO DE LAPTOP HUAWEI</t>
  </si>
  <si>
    <t>15 DE MARZO 2025</t>
  </si>
  <si>
    <t>31 DE MARZO 2025</t>
  </si>
  <si>
    <t>25 DE MARZO 2025</t>
  </si>
  <si>
    <t>12 DE MARZO 2025</t>
  </si>
  <si>
    <t>BATERIA HP Y MANTENIMIENTO</t>
  </si>
  <si>
    <t>20 DE MARZO 2025</t>
  </si>
  <si>
    <t>CAMBIO SSD 240 GB A ALL IN ONE</t>
  </si>
  <si>
    <t>24 DE MARZO 2025</t>
  </si>
  <si>
    <t xml:space="preserve">CAMBIO SSD 480 GB MAS BATERIA </t>
  </si>
  <si>
    <t>19 DE MARZO 20225</t>
  </si>
  <si>
    <t>COMISION A HECTOR Y SSD</t>
  </si>
  <si>
    <t>15 DE ABRIL 2025</t>
  </si>
  <si>
    <t>30 DE ABRIL 2025</t>
  </si>
  <si>
    <t>25 DE ABRIL 2025</t>
  </si>
  <si>
    <t>02 DE ABRIL 2025</t>
  </si>
  <si>
    <t>LAPTOP LENOVO PANTALLA</t>
  </si>
  <si>
    <t xml:space="preserve">LAPTOP HP PANTALLA </t>
  </si>
  <si>
    <t>01 DE ABRIL 2025</t>
  </si>
  <si>
    <t>SSD 120 GB Y MEM RAM 8 GB</t>
  </si>
  <si>
    <t>03 DE ABRIL 2025</t>
  </si>
  <si>
    <t xml:space="preserve">CAMBIO DISCO DURO 240 GB Y MTTO </t>
  </si>
  <si>
    <t>CPU 8 GB DE RAM DDR4 Y 120 GB ESMERALDA</t>
  </si>
  <si>
    <t>VENTA CPU CORE I5 TM CONSULTORES</t>
  </si>
  <si>
    <t>PIEZAS COMPONENTES</t>
  </si>
  <si>
    <t>04 DE ABRIL 2025</t>
  </si>
  <si>
    <t>DISCO DURO 240 GB SSD LOPEZ MATEO</t>
  </si>
  <si>
    <t>09 DE ABRIL 2025</t>
  </si>
  <si>
    <t>ARREGLO DE PC PADEL WORLD</t>
  </si>
  <si>
    <t>ARREGLO PC MARYTIERRA</t>
  </si>
  <si>
    <t>23 DE ABRIL 2025</t>
  </si>
  <si>
    <t>FORMATEO LAPTOP INSTALACION AUTOCAD</t>
  </si>
  <si>
    <t>28 DE ABRIL 2025</t>
  </si>
  <si>
    <t>CAMBIO SSD M2 500 GB</t>
  </si>
  <si>
    <t>SSD 480 GB M2</t>
  </si>
  <si>
    <t>29 DE ABRIL 2025</t>
  </si>
  <si>
    <t>CT BENJAMIN PAGO</t>
  </si>
  <si>
    <t xml:space="preserve">REPARACION PC DIBUJO TECNICO MTTO </t>
  </si>
  <si>
    <t>INSTALACION DE CONTPAQ I Y MANTENIMIENTO A LAPTOP</t>
  </si>
  <si>
    <t>LICENCIA CRACK CONTPAQ</t>
  </si>
  <si>
    <t>VENTA DE LAPTOP PALERMO</t>
  </si>
  <si>
    <t>LAPTOP</t>
  </si>
  <si>
    <t>09 DE MAYO 2025</t>
  </si>
  <si>
    <t>REFACCION</t>
  </si>
  <si>
    <t xml:space="preserve">LAPTOP QUE NO DA VIDEO ASUS </t>
  </si>
  <si>
    <t>12 DE MAYO 2025</t>
  </si>
  <si>
    <t>14 DE MAYO 2025</t>
  </si>
  <si>
    <t xml:space="preserve">CAMBIO DISCO DURO SSD 480 GB LAPTOP HP </t>
  </si>
  <si>
    <t>SSD 480</t>
  </si>
  <si>
    <t>MANTENIMIENTO CORRECTIVO ACER QUE NO PRENDE</t>
  </si>
  <si>
    <t>15 DE MAYO 2025</t>
  </si>
  <si>
    <t>30 DE MAYO 2025</t>
  </si>
  <si>
    <t>25 DE MAYO 2025</t>
  </si>
  <si>
    <t>LAPTOP MANTENIMIENTO CORRECTIVO</t>
  </si>
  <si>
    <t xml:space="preserve">16 DE MAYO 2025 </t>
  </si>
  <si>
    <t>DELL MANTENIMIENTO NO DETECTABA DISCO DURO</t>
  </si>
  <si>
    <t xml:space="preserve">HP DORADA DISCO DURO 240 GB Y MANTENIMIENTO </t>
  </si>
  <si>
    <t xml:space="preserve">LAPTOP DELL GRIS GAMER </t>
  </si>
  <si>
    <t>19 DE MAYO 2025</t>
  </si>
  <si>
    <t>LAPTOP VIEJITO SSD MAS MANTENIMIENTO</t>
  </si>
  <si>
    <t>21 DE MAYO 2025</t>
  </si>
  <si>
    <t>LAPTOP 240 GB SSD HP MAS MEMORIA RAM HIJO DE RODIGO</t>
  </si>
  <si>
    <t>8 GB DE RAM DDR3</t>
  </si>
  <si>
    <t xml:space="preserve">LAPTOP DELL NEGRA RODRIGO 8 GB DE RAM Y 240 SSD </t>
  </si>
  <si>
    <t>8 GB DE RAM DDR3 + SSD 240</t>
  </si>
  <si>
    <t>22 DE MAYO 2025</t>
  </si>
  <si>
    <t>LAPTOP MIGRACION WINDOWS XP A WINDOWS 7</t>
  </si>
  <si>
    <t>REFACCION 4 GB DDR2</t>
  </si>
  <si>
    <t xml:space="preserve">28 DE MAYO 2025 </t>
  </si>
  <si>
    <t>VENTA CONTPAQ I CONTABILIDAD Y MTTO</t>
  </si>
  <si>
    <t>SISTEMA</t>
  </si>
  <si>
    <t>ALVAREZ</t>
  </si>
  <si>
    <t>CAMBIO MEMORIA RAM 16 GB DDR4</t>
  </si>
  <si>
    <t>28 DE MAYO 2025</t>
  </si>
  <si>
    <t>29 DE MAYO 2025</t>
  </si>
  <si>
    <t>MEMORIAS RAM 32 GB DDR4</t>
  </si>
  <si>
    <t>RAM DDR4 32 GB</t>
  </si>
  <si>
    <t>NUU</t>
  </si>
  <si>
    <t>INSTALACION LUMION LAPTOP</t>
  </si>
  <si>
    <t>INSTALACION LUMION PC</t>
  </si>
  <si>
    <t>31 DE MAYO 2025</t>
  </si>
  <si>
    <t xml:space="preserve">INSTALACION MEMORIA RAM </t>
  </si>
  <si>
    <t>06 DE JUNIO 2025</t>
  </si>
  <si>
    <t>REPARACION DE VISAGRAS LAPTOP</t>
  </si>
  <si>
    <t xml:space="preserve">09 DE JUNIO 2025 </t>
  </si>
  <si>
    <t>PLACA MADRE DE REFACCION PARA CPU</t>
  </si>
  <si>
    <t>TARJETA GIGABYTE</t>
  </si>
  <si>
    <t>09 DE JUNIO 2025</t>
  </si>
  <si>
    <t>FORMATEO MANTENIMIENTO HP GRIS</t>
  </si>
  <si>
    <t>INSTALACION PROGRAMAS</t>
  </si>
  <si>
    <t>10 DE JUNIO 2025</t>
  </si>
  <si>
    <t>VENTA CPU INSTALACION Y CONFIGURACION</t>
  </si>
  <si>
    <t>PIEZAS CPU</t>
  </si>
  <si>
    <t>16 DE JUNIO 2025</t>
  </si>
  <si>
    <t>SSD 240 GB INVENTARIO</t>
  </si>
  <si>
    <t>17 DE JUNIO 2025</t>
  </si>
  <si>
    <t xml:space="preserve">VENTA DE NO BREAKS </t>
  </si>
  <si>
    <t>2 NO BREAK</t>
  </si>
  <si>
    <t>20 DE JUNIO 2025</t>
  </si>
  <si>
    <t>FORMATEO Y AUTOCAD</t>
  </si>
  <si>
    <t>VISAGRA, MANTENIMIENTO Y TECLADO</t>
  </si>
  <si>
    <t>TECLADO Y REP VISAGRAS</t>
  </si>
  <si>
    <t>CAMBIO DE GABINETE Y MANTENIMIENTO</t>
  </si>
  <si>
    <t>cpu gamer</t>
  </si>
  <si>
    <t>PENDIENTES DE ENTREGA</t>
  </si>
  <si>
    <t>24 DE JUNIO 2025</t>
  </si>
  <si>
    <t>25 DE JUNIO 2025</t>
  </si>
  <si>
    <t xml:space="preserve">MANTENIMIENTO A DELL </t>
  </si>
  <si>
    <t>MANTENIMIENTO A LENOVO DORADA Y CARGADOR</t>
  </si>
  <si>
    <t>ACTUALIZACION TARJETA MADRE PROCEDADOR DDR4 PC E COMPROBANTES</t>
  </si>
  <si>
    <t>ACTUALIZACION TARJETA MADRE PROCEDADOR DDR4 PC AUXILIAR PC</t>
  </si>
  <si>
    <t>28 DE JUNIO 2025</t>
  </si>
  <si>
    <t>CAMBIO DE BATERIA DEL WH40</t>
  </si>
  <si>
    <t xml:space="preserve">BATERIA </t>
  </si>
  <si>
    <t>CAMBIO DE PANTALLA LAPTOP HACER</t>
  </si>
  <si>
    <t>02 DE JULIO 2025</t>
  </si>
  <si>
    <t>15 DE JULIO 2025</t>
  </si>
  <si>
    <t>31 DE JULIO 2025</t>
  </si>
  <si>
    <t>25 DE JULIO 2025</t>
  </si>
  <si>
    <t>REPARACION LAPTOP ROMMEL</t>
  </si>
  <si>
    <t>COMPONENTES ARMADO</t>
  </si>
  <si>
    <t>04 DE JULIO 2025</t>
  </si>
  <si>
    <t>LIMPIEZA Y FORMATEO LAPTOP VICTUS</t>
  </si>
  <si>
    <t xml:space="preserve">PC GENERICA LIMPIEZA </t>
  </si>
  <si>
    <t>FORMATEO COMPU DIBUJO TECNICO</t>
  </si>
  <si>
    <t>08 DE JULIO 2025</t>
  </si>
  <si>
    <t>CAMBIO DISCO DURO SSD 480 GB LAPTOP HP DORADA</t>
  </si>
  <si>
    <t>DISCO DURO 480 GB SSD</t>
  </si>
  <si>
    <t>CAMBIO DISCO DURO SSD 240 GB LAPTOP LENOVO PLATA</t>
  </si>
  <si>
    <t xml:space="preserve">DISCO DURO 240 GB SSD </t>
  </si>
  <si>
    <t>FORMATEO LAPTOP HP AZUL</t>
  </si>
  <si>
    <t>REPARACION VISAGRAS LENOVO LEGION</t>
  </si>
  <si>
    <t>LIMPIEZA CPU LENOVO THINKPAD</t>
  </si>
  <si>
    <t>14 DE JULIO 2025</t>
  </si>
  <si>
    <t xml:space="preserve">CAMBIO SSD 240 GB LENOVO </t>
  </si>
  <si>
    <t>M2 DISCO</t>
  </si>
  <si>
    <t>RYZEN 7 5700G</t>
  </si>
  <si>
    <t>PROCESADOR</t>
  </si>
  <si>
    <t>CYBERPUERTA</t>
  </si>
  <si>
    <t>19 DE JULIO 2025</t>
  </si>
  <si>
    <t>CAMBIO DISCO SSD 240 GB LAPTOP HP ROSA</t>
  </si>
  <si>
    <t>24 DE JULIO 2025</t>
  </si>
  <si>
    <t>REPARACION DE VISAGRAS Y DISCO DURO 240 GB SSD</t>
  </si>
  <si>
    <t>FORMATEO, LIMPIEZA Y PINTADO DE GABINETE</t>
  </si>
  <si>
    <t>LIMPIEZA DE EQUIPOS EXOTICA</t>
  </si>
  <si>
    <t>29 DE JULIO 2025</t>
  </si>
  <si>
    <t>REPARACION DE VISAGRAS Y CAMBIO DISCO SSD 240 GB</t>
  </si>
  <si>
    <t xml:space="preserve">TAPA Y BICEL DE PANTALLA </t>
  </si>
  <si>
    <t>PIEZAS PARA LAP</t>
  </si>
  <si>
    <t xml:space="preserve">TECLADO ROG ASUS </t>
  </si>
  <si>
    <t>PIEZA PARA LAP</t>
  </si>
  <si>
    <t>30 DE JULIO 2025</t>
  </si>
  <si>
    <t>DISCO DURO SSD 2230 1 TB LAPTOP MARCA WINDOWS</t>
  </si>
  <si>
    <t>FORMATEO Y RAM DIBUJO TECNICO</t>
  </si>
  <si>
    <t>FORMATEO CPU IBARRA MANJARREZ</t>
  </si>
  <si>
    <t>VENTA BATERIA FORMATEO Y LIMPIEZA HP</t>
  </si>
  <si>
    <t>FORMATEO HP GRIS</t>
  </si>
  <si>
    <t>LAPTOP LIMPIEZA SE LE MOJO</t>
  </si>
  <si>
    <t>07 DE AGOSTO 2025</t>
  </si>
  <si>
    <t xml:space="preserve">07 DE AGOSTO 2025 </t>
  </si>
  <si>
    <t xml:space="preserve">LAPTOP HUAWEI </t>
  </si>
  <si>
    <t>SONI VAIO NO ENCIENDE</t>
  </si>
  <si>
    <t xml:space="preserve">LAPTOP HP NO DA VIDEO </t>
  </si>
  <si>
    <t>DELL GRIS</t>
  </si>
  <si>
    <t>08 DE AGOSTO 2025</t>
  </si>
  <si>
    <t>VISAGRAS LENOVO</t>
  </si>
  <si>
    <t>15 DE AGOSTO 2025</t>
  </si>
  <si>
    <t>31 DE AGOSTO 2025</t>
  </si>
  <si>
    <t>OSIRIS MENSUAL</t>
  </si>
  <si>
    <t>25 DE AGOSTO 2025</t>
  </si>
  <si>
    <t xml:space="preserve">MANTENIMIENTO CORRECTIVO HACER </t>
  </si>
  <si>
    <t xml:space="preserve">VISAGRAS Y FORMATEO HP </t>
  </si>
  <si>
    <t>18 DE AGOSTO 2025</t>
  </si>
  <si>
    <t>CAMBIO SSD 480 GB 8 GB DE RAM  Y BATERIA LAPTOP HP</t>
  </si>
  <si>
    <t>SSD 480 GB Y BATERIA</t>
  </si>
  <si>
    <t>19 DE AGOSTO 2025</t>
  </si>
  <si>
    <t>20 DE AGOSTO 2025</t>
  </si>
  <si>
    <t>SOPORTE TECNICO VICTOR DE RUEDA</t>
  </si>
  <si>
    <t>21 DE AGOSTO 2025</t>
  </si>
  <si>
    <t>CAMBIO DE DISCO DURO SSD 480 GB Y MANTENIMIENTO HP ROSA</t>
  </si>
  <si>
    <t>CAMBIO DE GABINETE Y FUENTE DE PODER</t>
  </si>
  <si>
    <t>FUENTE PODER MIL WATTS</t>
  </si>
  <si>
    <t>FORMATEO Y RESPALDO DELL ARQ EMELY MAS LIMPIEZA</t>
  </si>
  <si>
    <t>CAMBIO DISCO DURO SSD 480 GB Y MANTENIMIENTO</t>
  </si>
  <si>
    <t>NITROACER LA RAM NO FUNCIONA</t>
  </si>
  <si>
    <t>27 DE AGOSTO 2025</t>
  </si>
  <si>
    <t>VISAGRAS LAPTOP NITROACER</t>
  </si>
  <si>
    <t xml:space="preserve">BATERIA Y VISAGRAS HP </t>
  </si>
  <si>
    <t>28 DE AGOSTO 2025</t>
  </si>
  <si>
    <t xml:space="preserve">CAMBIO DE PANTALLA DELL </t>
  </si>
  <si>
    <t>BATERIA MAC</t>
  </si>
  <si>
    <t>CAMBIO DE BATERIA MAC  Y MANTENIMIENTO</t>
  </si>
  <si>
    <t>SOPORTE TECNICO INSTALACION DE MONITORES</t>
  </si>
  <si>
    <t>A LA NUUU SE LE DEBEN 2600 DE PIEZAS COMPRADAS</t>
  </si>
  <si>
    <t>INSTALACION DE PROGRAMAS LENOVO VIEJITA</t>
  </si>
  <si>
    <t>CPU ALIENWARE MTTO Y LIMPIEZA</t>
  </si>
  <si>
    <t>01 DE SEPTIEMBRE 2025</t>
  </si>
  <si>
    <t>CAMBIO DE TECLADO HP PLATA</t>
  </si>
  <si>
    <t>TECLADO PIEZA</t>
  </si>
  <si>
    <t>MEMORIAS RAM Y SSD</t>
  </si>
  <si>
    <t>03 DE SEPTIEMBRE 2025</t>
  </si>
  <si>
    <t>MANTENIMIENTO A LAPTOP TOSHIBA</t>
  </si>
  <si>
    <t>08 DE SEPTIEMBRE 2025</t>
  </si>
  <si>
    <t>INSTALACION DE PROGRAMAS DE ARQUITECTURA</t>
  </si>
  <si>
    <t xml:space="preserve">LIMPIEZA LAPTOP MSI </t>
  </si>
  <si>
    <t>DISPLAY LENOVO TINTA</t>
  </si>
  <si>
    <t>DISPLAY PANTALLA</t>
  </si>
  <si>
    <t>LAPTOP DELL A REVISION NO PRENDE</t>
  </si>
  <si>
    <t>LAPTOP HP MANTENIMIENTO Y SSD 480</t>
  </si>
  <si>
    <t>DISCO DURO SSD 480 GB</t>
  </si>
  <si>
    <t>09 DE SEPTIEMBRE 2025</t>
  </si>
  <si>
    <t>FORMATEO LAPTOP HP CON VIRUS</t>
  </si>
  <si>
    <t>CLONADO SSD 240 Y TECLADO</t>
  </si>
  <si>
    <t>ssd 240 gb mas teclado</t>
  </si>
  <si>
    <t>ACTIVACION CONTPAQ I</t>
  </si>
  <si>
    <t>11 DE SEPTIEMBRE 2025</t>
  </si>
  <si>
    <t>LICENCIA CONTPAQ</t>
  </si>
  <si>
    <t>15 DE SEPTIEMBRE 2025</t>
  </si>
  <si>
    <t>30 DE SEPTIEMBRE 2025</t>
  </si>
  <si>
    <t>25 DE SEPTIEMBRE 2025</t>
  </si>
  <si>
    <t xml:space="preserve">VICTUS MANTENIMIENTO </t>
  </si>
  <si>
    <t>12 DE SEPTIEMBRE 2025</t>
  </si>
  <si>
    <t>SSD 240 GB MAS MEMORIA RAM</t>
  </si>
  <si>
    <t>SSD 480 GB Y MEMORIA RAM</t>
  </si>
  <si>
    <t xml:space="preserve">DELL TECLADO+ SSD 240+ 8 GB DE RAM MAS BATERIA </t>
  </si>
  <si>
    <t>CAMBIO SSD 240 GB Y MEMORIA RAM 8 GB GALERNA</t>
  </si>
  <si>
    <t>DELL PC SSD 240 GB 8 GB DE RAM DDR4 MTTO</t>
  </si>
  <si>
    <t>BATERIA,TECLADO MEMORIA RAM Y DISCO</t>
  </si>
  <si>
    <t>17 DE SEPTIEMBRE 2025</t>
  </si>
  <si>
    <t>ALL IN ONE LENOVO LAVADO DE TARJETA</t>
  </si>
  <si>
    <t>600 comision hector</t>
  </si>
  <si>
    <t>18 DE SEPTIEMBRE 2025</t>
  </si>
  <si>
    <t xml:space="preserve">ANIELA DELL ROJA NO ENCIENDE </t>
  </si>
  <si>
    <t>19 DE SEPTIEMBRE 2025</t>
  </si>
  <si>
    <t>LAPTOP DELL AZUL SSD 240 GB + BATERIA</t>
  </si>
  <si>
    <t xml:space="preserve">BATERIA Y SSD </t>
  </si>
  <si>
    <t>20 DE SEPTIEMBRE 2025</t>
  </si>
  <si>
    <t xml:space="preserve">PC CAMBIO DE FUENTE DE PODER Y MTTO </t>
  </si>
  <si>
    <t>CPU DELL MANTENIMIENTO NO ENCIENDE</t>
  </si>
  <si>
    <t>INSTALACION DE PROGRAMA DRAGON CUT</t>
  </si>
  <si>
    <t>26 DE SEPTIEMBRE 2025</t>
  </si>
  <si>
    <t>REPARACION DE VISAGRAS LAPTOP DELL</t>
  </si>
  <si>
    <t>350 COMISION HECTOR</t>
  </si>
  <si>
    <t>29 DE SEPTIEMBRE 2025</t>
  </si>
  <si>
    <t xml:space="preserve">VENTILADORES MSI </t>
  </si>
  <si>
    <t>VENTILADORES</t>
  </si>
  <si>
    <t>CPU MANTENIMIENTO +  AUMENTO DE RAM 8 GB DE RAM + MONITOR´+REGULADOR+CONTPAQ</t>
  </si>
  <si>
    <t>varias</t>
  </si>
  <si>
    <t>02 de OCTUBRE 2025</t>
  </si>
  <si>
    <t>MANTENIMIENTO CPU VICTOR DE RUEDA</t>
  </si>
  <si>
    <t xml:space="preserve">REPARACION DE BOTON HP </t>
  </si>
  <si>
    <t>HECTOR SE LE PAGO SU COMISION DE 200 PESOS</t>
  </si>
  <si>
    <t>15 DE OCTUBRE 2025</t>
  </si>
  <si>
    <t>31 DE OCTUBRE 2025</t>
  </si>
  <si>
    <t>25 DE OCTUBRE 2025</t>
  </si>
  <si>
    <t>03 DE OCTUBRE 2025</t>
  </si>
  <si>
    <t>CPU GENERICO NO ENCIENDE</t>
  </si>
  <si>
    <t xml:space="preserve">NOTAS </t>
  </si>
  <si>
    <t>GANANCIA</t>
  </si>
  <si>
    <t>SE COMPRARAN 2 DISCOS DE 240 GB CON EL COSTO</t>
  </si>
  <si>
    <t>VISAGRAS LAPTOP LENOVO</t>
  </si>
  <si>
    <t>HECTOR SE LE PAGO SU COMISION 300</t>
  </si>
  <si>
    <t>HECTOR REPARACION</t>
  </si>
  <si>
    <t>MEMORIA RAM SSD 240</t>
  </si>
  <si>
    <t>CAMBIO DE PANTALLA DISPLAY</t>
  </si>
  <si>
    <t xml:space="preserve">PIEZA </t>
  </si>
  <si>
    <t>07 DE OCTUBRE 2025</t>
  </si>
  <si>
    <t>LAPTOP HP PLATEADA CAMBIO DE DISCO SSD 240 GB Y BATERIA</t>
  </si>
  <si>
    <t>DISCO DURO Y BATERIA</t>
  </si>
  <si>
    <t>08 DE OCTUBRE 2025</t>
  </si>
  <si>
    <t>HECTOR COMISION 20% UTILILIDAD SERIAN 350</t>
  </si>
  <si>
    <t>ALL IN ONE SIN CABLE NO SABEMOS QUE TIENE</t>
  </si>
  <si>
    <t>CAMBIO DE DISCO 240 GB Y RAM 8 GB DDR3 LAPTOP BLANCA</t>
  </si>
  <si>
    <t>MANTENIMIENTO A LAPTOP GAMER PRETADOR Y VENTILADOR</t>
  </si>
  <si>
    <t>VENTILADOR PEDIDO</t>
  </si>
  <si>
    <t>10 DE OCTUBRE 2025</t>
  </si>
  <si>
    <t xml:space="preserve">FORMATEO LAPTOP LENOVO PW </t>
  </si>
  <si>
    <t>PW CENTROS DEPORTIVOS</t>
  </si>
  <si>
    <t>LAPTOP HP AZUL NO DETECTA WIFI</t>
  </si>
  <si>
    <t>ROLLOS TERMICOS ZEBRA</t>
  </si>
  <si>
    <t>50 ROLLOS TERMICOS</t>
  </si>
  <si>
    <t>13 DE OCTUBRE 2025</t>
  </si>
  <si>
    <t>GANANCIA ES PARA BENJAMIN COMPLETA</t>
  </si>
  <si>
    <t>11 DE OCTUBRE 2025</t>
  </si>
  <si>
    <t>FORMATEO HP PLATA LIC NARDA</t>
  </si>
  <si>
    <t>14 DE OCTUBRE 2025</t>
  </si>
  <si>
    <t>CAMBIO DISCO SSD 480 GB RESPALDO HP BLANCA</t>
  </si>
  <si>
    <t xml:space="preserve">CARGADOR </t>
  </si>
  <si>
    <t>DELL NEGRA FORMATEO Y CARGADOR</t>
  </si>
  <si>
    <t>16 DE OCTUBRE 2025</t>
  </si>
  <si>
    <t>HP DORADA CAMBIO DISCO 480 GB</t>
  </si>
  <si>
    <t>20 DE OCTUBRE 2025</t>
  </si>
  <si>
    <t>MANTENIMIENTO A CPU COMPRAS</t>
  </si>
  <si>
    <t xml:space="preserve">SSD 480 GB </t>
  </si>
  <si>
    <t>CAMBIO SSD 240 GB LENOVO PLATEADA</t>
  </si>
  <si>
    <t>22 DE OCTUBRE 2025</t>
  </si>
  <si>
    <t xml:space="preserve"> NO APLICA</t>
  </si>
  <si>
    <t>05 DE NOVIEMBRE 2025</t>
  </si>
  <si>
    <t>LAPTOP LENOVO SSD 1 TB WD</t>
  </si>
  <si>
    <t>06 DE NOVIEMBRE 2025</t>
  </si>
  <si>
    <t>HECTOR COMISION 20% UTILIDAD SERIAN 240</t>
  </si>
  <si>
    <t>HECTOR COMISION 20% UTILIDAD SERIAN 120</t>
  </si>
  <si>
    <t>LIMPIEZA Y FORMATEO LAPTOP TOSHIBA</t>
  </si>
  <si>
    <t>07 DE NOVIEMBRE 2025</t>
  </si>
  <si>
    <t>LAPTOP HUAWEI NO CARGA</t>
  </si>
  <si>
    <t>PC OFFICE Y LAPTOP</t>
  </si>
  <si>
    <t>PC HP NEGRA CAMBIO DISCO DURO 1 TB MAS RESPALDO</t>
  </si>
  <si>
    <t>09 DE NOVIEMBRE 2025</t>
  </si>
  <si>
    <t xml:space="preserve">CAMBIO DISCO DURO SSD 240 GB </t>
  </si>
  <si>
    <t xml:space="preserve">HECTOR COMISION 20% UTILIDAD 240 </t>
  </si>
  <si>
    <t>10 DE NOVIEMBRE 2025</t>
  </si>
  <si>
    <t>CAMBIO DISCO DURO SSD 240 GB MAS MEMORIA RAM 8 GB</t>
  </si>
  <si>
    <t>SSD 240 GB + 1 MEMORIA RAM</t>
  </si>
  <si>
    <t>11 DE NOVIEMBRE 2025</t>
  </si>
  <si>
    <t xml:space="preserve">VENTA DISCO DURO SSD 480 GB </t>
  </si>
  <si>
    <t>CAMBIO PANTALLA Y VISAGRAS ACCER LAPTOP</t>
  </si>
  <si>
    <t>restan 600</t>
  </si>
  <si>
    <t>15 DE NOVIEMBRE 2025</t>
  </si>
  <si>
    <t>30 DE NOVIEMBRE 2025</t>
  </si>
  <si>
    <t>MANTENIMIENTO ASUS</t>
  </si>
  <si>
    <t>08 DE DICIEMBRE 2025</t>
  </si>
  <si>
    <t>AUMENTO MEMORIA RAM 16 GB PC</t>
  </si>
  <si>
    <t>BIOMARINA</t>
  </si>
  <si>
    <t>MEMORIA RAM 16 GB</t>
  </si>
  <si>
    <t xml:space="preserve">BATERIA LAPTOP HP </t>
  </si>
  <si>
    <t>LAPTOP DELL BATERIA Y SSD 480 GB</t>
  </si>
  <si>
    <t>FUENTE DE PODER E INSTALACION</t>
  </si>
  <si>
    <t>09 DE DICIEMBRE 2025</t>
  </si>
  <si>
    <t>SSD 480 GB ALL IN ONE</t>
  </si>
  <si>
    <t>15 DE DICIEMBRE 2025</t>
  </si>
  <si>
    <t>30 DE DICIEMBRE 2025</t>
  </si>
  <si>
    <t>30 DE DICIMEBRE 2025</t>
  </si>
  <si>
    <t>20 DE DICIEMBRE 2025</t>
  </si>
  <si>
    <t>SSD 1 TB + 8 GB DDR5 Y MANTENIMIENTO</t>
  </si>
  <si>
    <t>MANTENIMIENTO CPU</t>
  </si>
  <si>
    <t xml:space="preserve">TECLADO LENOVO </t>
  </si>
  <si>
    <t>HOSPITAL ALMHA</t>
  </si>
  <si>
    <t>29 DE DICIEMBRE 2025</t>
  </si>
  <si>
    <t>BATERIA TOSHIBA</t>
  </si>
  <si>
    <t xml:space="preserve">ARMADO CPU GAMER </t>
  </si>
  <si>
    <t xml:space="preserve">MANTENIMIENTO HUAWEI </t>
  </si>
  <si>
    <t>31 DE DICIEMBRE 2025</t>
  </si>
  <si>
    <t>CAMBIO DE PANTALLA LENOVO</t>
  </si>
  <si>
    <t>DISPLAY ROTO HP</t>
  </si>
  <si>
    <t>DISPLAY ROTO ASUS</t>
  </si>
  <si>
    <t>06 DE ENERO 2026</t>
  </si>
  <si>
    <t>VENTILADORES MSI Y MANTENIMIENTO</t>
  </si>
  <si>
    <t>FUENTE DE PODER 650 WATTS</t>
  </si>
  <si>
    <t xml:space="preserve">ACER VISAGRAS </t>
  </si>
  <si>
    <t>12 DE ENERO 2026</t>
  </si>
  <si>
    <t>LAPTOP DIBUJO TECNICO</t>
  </si>
  <si>
    <t>15 DE ENERO 2026</t>
  </si>
  <si>
    <t>31 DE ENERO 2026</t>
  </si>
  <si>
    <t>MENSUAL SECRETARIA</t>
  </si>
  <si>
    <t>PANTALLA ALL IN ONE</t>
  </si>
  <si>
    <t>ML CHINA</t>
  </si>
  <si>
    <t>19 DE ENERO 2026</t>
  </si>
  <si>
    <t>CAMBIO SSD 240 GB Y MEMORIA RAM 16 GB DDR4</t>
  </si>
  <si>
    <t>MANTENIMIENTO MACBOOK PRO</t>
  </si>
  <si>
    <t>20 DE ENERO 2026</t>
  </si>
  <si>
    <t>LAPTOP ANA NAVA BATERIA VISAGRAS Y RAM</t>
  </si>
  <si>
    <t>REPARACION VISAGRAS LENOVO</t>
  </si>
  <si>
    <t>REPARACION VISAGRAS ACCER</t>
  </si>
  <si>
    <t>23 DE ENERO 2026</t>
  </si>
  <si>
    <t>PANTALLA PEDIDA</t>
  </si>
  <si>
    <t>22 DE ENERO 2026</t>
  </si>
  <si>
    <t>ML MEX</t>
  </si>
  <si>
    <t>CAMBIO A PC DE SSD 480 GB</t>
  </si>
  <si>
    <t>MANTENIMIENTO CORRECTIVO LAPTOP DELL</t>
  </si>
  <si>
    <t>MANTENIMIENTO A SERVIDOR PENAL</t>
  </si>
  <si>
    <t>30 DE ENERO 2026</t>
  </si>
  <si>
    <t>MANTENIMIENTO HP AZUL</t>
  </si>
  <si>
    <t xml:space="preserve">INSTALACION DE PROGRAMAS </t>
  </si>
  <si>
    <t>MANTENIMIENTO Y FUENTE DE PODER</t>
  </si>
  <si>
    <t>05 DE FEBRERO 2026</t>
  </si>
  <si>
    <t>LAPTOP ACER.. CAMBIO DE DISCO DURO 240 GB</t>
  </si>
  <si>
    <t>BATERIA LAPTOP HP DORADA Y DESBLOQUEO</t>
  </si>
  <si>
    <t>BATERIA DELL ORIGINAL</t>
  </si>
  <si>
    <t xml:space="preserve">BATERIA DELL </t>
  </si>
  <si>
    <t>FLEX Y MANO DE OBRA</t>
  </si>
  <si>
    <t>FLEX</t>
  </si>
  <si>
    <t>MANTENIMIENTO LAPTOP ASUS</t>
  </si>
  <si>
    <t>CAMBIO DE BATERIA Y MANTENIMIENTO</t>
  </si>
  <si>
    <t>10 DE FEBRERO 2026</t>
  </si>
  <si>
    <t xml:space="preserve">INSTALAR PROGRAMAS </t>
  </si>
  <si>
    <t>05 DE MARZO 2026</t>
  </si>
  <si>
    <t>DIBUJO TECNICO</t>
  </si>
  <si>
    <t>MEMORIAS RAM 2 X 16 GB</t>
  </si>
  <si>
    <t>MEMORIAS RAM</t>
  </si>
  <si>
    <t>PANTALLA LAPTOP LENOVO</t>
  </si>
  <si>
    <t>08 DE MARZO 2026</t>
  </si>
  <si>
    <t>11 DE MARZO 2026</t>
  </si>
  <si>
    <t>TECLADO LENOVO GRIS SR GRANDE</t>
  </si>
  <si>
    <t>TECLADO LENOVO GRINGO</t>
  </si>
  <si>
    <t>18 DE MARZO 2026</t>
  </si>
  <si>
    <t>CAMBIO DE DISCO 1 TB + MANTENIMIENTO</t>
  </si>
  <si>
    <t>SSD 960</t>
  </si>
  <si>
    <t>TUF RENDIMIENTO BAJO</t>
  </si>
  <si>
    <t>PANTALLAZO 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</si>
</sst>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43" fontId="0" fillId="0" borderId="0" xfId="1" applyFont="1"/>
    <xf numFmtId="43" fontId="2" fillId="0" borderId="0" xfId="1" applyFont="1"/>
    <xf numFmtId="43" fontId="0" fillId="2" borderId="0" xfId="1" applyFont="1" applyFill="1"/>
    <xf numFmtId="0" fontId="0" fillId="2" borderId="0" xfId="0" applyFill="1"/>
    <xf numFmtId="43" fontId="0" fillId="0" borderId="0" xfId="1" applyFont="1" applyFill="1"/>
    <xf numFmtId="43" fontId="2" fillId="0" borderId="0" xfId="1" applyFont="1" applyFill="1"/>
    <xf numFmtId="49" fontId="2" fillId="0" borderId="0" xfId="0" applyNumberFormat="1" applyFont="1" applyAlignment="1">
      <alignment horizontal="center"/>
    </xf>
    <xf numFmtId="0" fontId="0" fillId="3" borderId="0" xfId="0" applyFill="1"/>
    <xf numFmtId="43" fontId="0" fillId="3" borderId="0" xfId="1" applyFont="1" applyFill="1"/>
    <xf numFmtId="0" fontId="2" fillId="3" borderId="0" xfId="0" applyFont="1" applyFill="1"/>
    <xf numFmtId="43" fontId="2" fillId="3" borderId="0" xfId="1" applyFont="1" applyFill="1"/>
    <xf numFmtId="49" fontId="2" fillId="3" borderId="0" xfId="0" applyNumberFormat="1" applyFont="1" applyFill="1" applyAlignment="1">
      <alignment horizontal="center"/>
    </xf>
    <xf numFmtId="49" fontId="0" fillId="3" borderId="0" xfId="0" applyNumberFormat="1" applyFill="1"/>
    <xf numFmtId="49" fontId="0" fillId="2" borderId="0" xfId="0" applyNumberFormat="1" applyFill="1"/>
    <xf numFmtId="43" fontId="0" fillId="3" borderId="0" xfId="0" applyNumberFormat="1" applyFill="1"/>
    <xf numFmtId="43" fontId="2" fillId="3" borderId="0" xfId="0" applyNumberFormat="1" applyFont="1" applyFill="1"/>
    <xf numFmtId="43" fontId="0" fillId="2" borderId="0" xfId="0" applyNumberFormat="1" applyFill="1"/>
    <xf numFmtId="0" fontId="3" fillId="3" borderId="0" xfId="0" applyFont="1" applyFill="1"/>
    <xf numFmtId="43" fontId="3" fillId="3" borderId="0" xfId="1" applyFont="1" applyFill="1"/>
    <xf numFmtId="0" fontId="3" fillId="2" borderId="0" xfId="0" applyFont="1" applyFill="1"/>
    <xf numFmtId="43" fontId="3" fillId="2" borderId="0" xfId="1" applyFont="1" applyFill="1"/>
    <xf numFmtId="43" fontId="3" fillId="2" borderId="0" xfId="0" applyNumberFormat="1" applyFont="1" applyFill="1"/>
    <xf numFmtId="0" fontId="0" fillId="4" borderId="0" xfId="0" applyFill="1"/>
    <xf numFmtId="43" fontId="0" fillId="4" borderId="0" xfId="1" applyFont="1" applyFill="1"/>
    <xf numFmtId="43" fontId="0" fillId="4" borderId="0" xfId="0" applyNumberFormat="1" applyFill="1"/>
    <xf numFmtId="14" fontId="0" fillId="2" borderId="0" xfId="0" applyNumberFormat="1" applyFill="1"/>
    <xf numFmtId="14" fontId="0" fillId="2" borderId="0" xfId="1" applyNumberFormat="1" applyFont="1" applyFill="1"/>
    <xf numFmtId="43" fontId="2" fillId="3" borderId="0" xfId="1" applyFont="1" applyFill="1" applyAlignment="1">
      <alignment horizontal="left"/>
    </xf>
    <xf numFmtId="14" fontId="0" fillId="3" borderId="0" xfId="1" applyNumberFormat="1" applyFont="1" applyFill="1"/>
    <xf numFmtId="14" fontId="0" fillId="3" borderId="0" xfId="0" applyNumberForma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82"/>
  <sheetViews>
    <sheetView workbookViewId="0">
      <pane ySplit="3" topLeftCell="A4" activePane="bottomLeft" state="frozen"/>
      <selection activeCell="B1" sqref="B1"/>
      <selection pane="bottomLeft" activeCell="E16" sqref="E16"/>
    </sheetView>
  </sheetViews>
  <sheetFormatPr baseColWidth="10" defaultColWidth="10.7109375" defaultRowHeight="15" x14ac:dyDescent="0.25"/>
  <cols>
    <col min="1" max="1" width="22.7109375" customWidth="1"/>
    <col min="2" max="2" width="51" customWidth="1"/>
    <col min="3" max="4" width="39.85546875" customWidth="1"/>
    <col min="5" max="5" width="11.42578125" style="2"/>
    <col min="9" max="9" width="38.42578125" style="2" customWidth="1"/>
    <col min="10" max="10" width="31.85546875" customWidth="1"/>
    <col min="11" max="11" width="18" style="2" customWidth="1"/>
    <col min="12" max="12" width="18" customWidth="1"/>
    <col min="13" max="13" width="19.28515625" style="2" customWidth="1"/>
  </cols>
  <sheetData>
    <row r="1" spans="1:16" s="1" customFormat="1" x14ac:dyDescent="0.25">
      <c r="A1" s="1" t="s">
        <v>0</v>
      </c>
      <c r="E1" s="3"/>
      <c r="I1" s="3"/>
      <c r="K1" s="3"/>
      <c r="M1" s="3"/>
    </row>
    <row r="3" spans="1:16" s="1" customFormat="1" x14ac:dyDescent="0.25">
      <c r="A3" s="1" t="s">
        <v>1</v>
      </c>
      <c r="B3" s="1" t="s">
        <v>3</v>
      </c>
      <c r="C3" s="1" t="s">
        <v>2</v>
      </c>
      <c r="D3" s="1" t="s">
        <v>32</v>
      </c>
      <c r="E3" s="3" t="s">
        <v>4</v>
      </c>
      <c r="I3" s="3" t="s">
        <v>11</v>
      </c>
      <c r="J3" s="1" t="s">
        <v>8</v>
      </c>
      <c r="K3" s="3" t="s">
        <v>9</v>
      </c>
      <c r="L3" s="1" t="s">
        <v>64</v>
      </c>
      <c r="M3" s="3" t="s">
        <v>13</v>
      </c>
    </row>
    <row r="5" spans="1:16" x14ac:dyDescent="0.25">
      <c r="A5" s="5" t="s">
        <v>5</v>
      </c>
      <c r="B5" s="5" t="s">
        <v>6</v>
      </c>
      <c r="C5" s="5" t="s">
        <v>7</v>
      </c>
      <c r="D5" s="5" t="s">
        <v>33</v>
      </c>
      <c r="E5" s="4">
        <v>1780</v>
      </c>
      <c r="I5" s="2" t="s">
        <v>12</v>
      </c>
      <c r="J5" t="s">
        <v>10</v>
      </c>
      <c r="K5" s="4">
        <v>700</v>
      </c>
      <c r="L5" t="s">
        <v>65</v>
      </c>
      <c r="M5" s="4">
        <f>E5-K5</f>
        <v>1080</v>
      </c>
    </row>
    <row r="6" spans="1:16" x14ac:dyDescent="0.25">
      <c r="A6" s="5" t="s">
        <v>14</v>
      </c>
      <c r="B6" s="5" t="s">
        <v>15</v>
      </c>
      <c r="C6" s="5" t="s">
        <v>16</v>
      </c>
      <c r="D6" s="5" t="s">
        <v>34</v>
      </c>
      <c r="E6" s="4">
        <v>3050</v>
      </c>
      <c r="I6" s="2" t="s">
        <v>17</v>
      </c>
      <c r="J6" t="s">
        <v>5</v>
      </c>
      <c r="K6" s="4">
        <v>1000</v>
      </c>
      <c r="L6" t="s">
        <v>66</v>
      </c>
      <c r="M6" s="4">
        <f>E6-K6</f>
        <v>2050</v>
      </c>
    </row>
    <row r="7" spans="1:16" x14ac:dyDescent="0.25">
      <c r="A7" s="5" t="s">
        <v>24</v>
      </c>
      <c r="B7" s="5" t="s">
        <v>25</v>
      </c>
      <c r="C7" s="5" t="s">
        <v>16</v>
      </c>
      <c r="D7" s="5" t="s">
        <v>34</v>
      </c>
      <c r="E7" s="4">
        <v>2500</v>
      </c>
      <c r="F7" s="5"/>
      <c r="G7" s="5"/>
      <c r="H7" s="5"/>
      <c r="I7" s="4" t="s">
        <v>26</v>
      </c>
      <c r="J7" s="5" t="s">
        <v>24</v>
      </c>
      <c r="K7" s="4">
        <f>368+532</f>
        <v>900</v>
      </c>
      <c r="L7" s="5" t="s">
        <v>66</v>
      </c>
      <c r="M7" s="4">
        <f>E7-K7</f>
        <v>1600</v>
      </c>
    </row>
    <row r="8" spans="1:16" x14ac:dyDescent="0.25">
      <c r="A8" s="5" t="s">
        <v>24</v>
      </c>
      <c r="B8" s="5" t="s">
        <v>31</v>
      </c>
      <c r="C8" s="5" t="s">
        <v>27</v>
      </c>
      <c r="D8" s="5" t="s">
        <v>33</v>
      </c>
      <c r="E8" s="4">
        <v>1350</v>
      </c>
      <c r="F8" s="5"/>
      <c r="G8" s="5"/>
      <c r="H8" s="5"/>
      <c r="I8" s="4" t="s">
        <v>28</v>
      </c>
      <c r="J8" s="5" t="s">
        <v>24</v>
      </c>
      <c r="K8" s="4">
        <v>700</v>
      </c>
      <c r="L8" s="5" t="s">
        <v>67</v>
      </c>
      <c r="M8" s="4">
        <f>E8-K8</f>
        <v>650</v>
      </c>
    </row>
    <row r="9" spans="1:16" x14ac:dyDescent="0.25">
      <c r="A9" s="5" t="s">
        <v>29</v>
      </c>
      <c r="B9" s="5" t="s">
        <v>30</v>
      </c>
      <c r="C9" s="5" t="s">
        <v>27</v>
      </c>
      <c r="D9" s="5" t="s">
        <v>33</v>
      </c>
      <c r="E9" s="4">
        <f>950+350+1400</f>
        <v>2700</v>
      </c>
      <c r="F9" s="5"/>
      <c r="G9" s="5"/>
      <c r="H9" s="5"/>
      <c r="I9" s="4" t="s">
        <v>43</v>
      </c>
      <c r="J9" s="5" t="s">
        <v>29</v>
      </c>
      <c r="K9" s="4">
        <v>1500</v>
      </c>
      <c r="L9" s="5" t="s">
        <v>66</v>
      </c>
      <c r="M9" s="4">
        <f>E9-K9</f>
        <v>1200</v>
      </c>
    </row>
    <row r="10" spans="1:16" x14ac:dyDescent="0.25">
      <c r="A10" s="5" t="s">
        <v>29</v>
      </c>
      <c r="B10" s="5" t="s">
        <v>35</v>
      </c>
      <c r="C10" s="5" t="s">
        <v>91</v>
      </c>
      <c r="D10" s="5" t="s">
        <v>36</v>
      </c>
      <c r="E10" s="4">
        <v>500</v>
      </c>
      <c r="F10" s="5"/>
      <c r="G10" s="5"/>
      <c r="H10" s="5"/>
      <c r="I10" s="4" t="s">
        <v>37</v>
      </c>
      <c r="J10" s="4" t="s">
        <v>37</v>
      </c>
      <c r="K10" s="4" t="s">
        <v>37</v>
      </c>
      <c r="L10" s="4" t="s">
        <v>37</v>
      </c>
      <c r="M10" s="4">
        <f>E10</f>
        <v>500</v>
      </c>
    </row>
    <row r="11" spans="1:16" x14ac:dyDescent="0.25">
      <c r="A11" s="5" t="s">
        <v>38</v>
      </c>
      <c r="B11" s="5" t="s">
        <v>39</v>
      </c>
      <c r="C11" s="5" t="s">
        <v>91</v>
      </c>
      <c r="D11" s="5" t="s">
        <v>36</v>
      </c>
      <c r="E11" s="4">
        <v>2300</v>
      </c>
      <c r="F11" s="5"/>
      <c r="G11" s="5"/>
      <c r="H11" s="5"/>
      <c r="I11" s="4" t="s">
        <v>40</v>
      </c>
      <c r="J11" s="5" t="s">
        <v>29</v>
      </c>
      <c r="K11" s="4">
        <v>650</v>
      </c>
      <c r="L11" s="5" t="s">
        <v>66</v>
      </c>
      <c r="M11" s="4">
        <f>E11-K11</f>
        <v>1650</v>
      </c>
      <c r="P11">
        <v>2800</v>
      </c>
    </row>
    <row r="12" spans="1:16" x14ac:dyDescent="0.25">
      <c r="A12" s="5" t="s">
        <v>57</v>
      </c>
      <c r="B12" s="5" t="s">
        <v>58</v>
      </c>
      <c r="C12" s="5" t="s">
        <v>91</v>
      </c>
      <c r="D12" s="5" t="s">
        <v>36</v>
      </c>
      <c r="E12" s="4">
        <v>800</v>
      </c>
      <c r="F12" s="5"/>
      <c r="G12" s="5"/>
      <c r="H12" s="5"/>
      <c r="I12" s="4" t="s">
        <v>61</v>
      </c>
      <c r="J12" s="5" t="s">
        <v>57</v>
      </c>
      <c r="K12" s="4">
        <v>300</v>
      </c>
      <c r="L12" s="5" t="s">
        <v>66</v>
      </c>
      <c r="M12" s="4">
        <f>E12-K12</f>
        <v>500</v>
      </c>
      <c r="P12">
        <v>1650</v>
      </c>
    </row>
    <row r="13" spans="1:16" x14ac:dyDescent="0.25">
      <c r="A13" s="5" t="s">
        <v>85</v>
      </c>
      <c r="B13" s="5" t="s">
        <v>59</v>
      </c>
      <c r="C13" s="5" t="s">
        <v>91</v>
      </c>
      <c r="D13" s="5" t="s">
        <v>36</v>
      </c>
      <c r="E13" s="4">
        <v>750</v>
      </c>
      <c r="F13" s="5"/>
      <c r="G13" s="5"/>
      <c r="H13" s="5"/>
      <c r="I13" s="4" t="s">
        <v>86</v>
      </c>
      <c r="J13" s="5" t="s">
        <v>85</v>
      </c>
      <c r="K13" s="4">
        <v>300</v>
      </c>
      <c r="L13" s="5" t="s">
        <v>66</v>
      </c>
      <c r="M13" s="4">
        <f>E13-K13</f>
        <v>450</v>
      </c>
      <c r="P13">
        <f>P11-P12</f>
        <v>1150</v>
      </c>
    </row>
    <row r="14" spans="1:16" x14ac:dyDescent="0.25">
      <c r="A14" s="5" t="s">
        <v>85</v>
      </c>
      <c r="B14" s="5" t="s">
        <v>58</v>
      </c>
      <c r="C14" s="5" t="s">
        <v>91</v>
      </c>
      <c r="D14" s="5" t="s">
        <v>36</v>
      </c>
      <c r="E14" s="4">
        <v>800</v>
      </c>
      <c r="F14" s="5"/>
      <c r="G14" s="5"/>
      <c r="H14" s="5"/>
      <c r="I14" s="4" t="s">
        <v>37</v>
      </c>
      <c r="J14" s="4" t="s">
        <v>37</v>
      </c>
      <c r="K14" s="4" t="s">
        <v>37</v>
      </c>
      <c r="L14" s="4" t="s">
        <v>37</v>
      </c>
      <c r="M14" s="4">
        <f>E14</f>
        <v>800</v>
      </c>
    </row>
    <row r="15" spans="1:16" x14ac:dyDescent="0.25">
      <c r="A15" s="9" t="s">
        <v>115</v>
      </c>
      <c r="B15" s="9" t="s">
        <v>116</v>
      </c>
      <c r="C15" s="9" t="s">
        <v>91</v>
      </c>
      <c r="D15" s="9" t="s">
        <v>36</v>
      </c>
      <c r="E15" s="10">
        <v>1800</v>
      </c>
      <c r="F15" s="9"/>
      <c r="G15" s="9"/>
      <c r="H15" s="9"/>
      <c r="I15" s="10"/>
      <c r="J15" s="10"/>
      <c r="K15" s="10"/>
      <c r="L15" s="10"/>
      <c r="M15" s="10"/>
    </row>
    <row r="16" spans="1:16" x14ac:dyDescent="0.25">
      <c r="A16" s="5" t="s">
        <v>57</v>
      </c>
      <c r="B16" s="5" t="s">
        <v>59</v>
      </c>
      <c r="C16" s="5" t="s">
        <v>91</v>
      </c>
      <c r="D16" s="5" t="s">
        <v>36</v>
      </c>
      <c r="E16" s="4">
        <v>1500</v>
      </c>
      <c r="F16" s="5"/>
      <c r="G16" s="5"/>
      <c r="H16" s="5"/>
      <c r="I16" s="4" t="s">
        <v>62</v>
      </c>
      <c r="J16" s="5" t="s">
        <v>57</v>
      </c>
      <c r="K16" s="4">
        <v>750</v>
      </c>
      <c r="L16" s="5" t="s">
        <v>66</v>
      </c>
      <c r="M16" s="4">
        <f>E16-K16</f>
        <v>750</v>
      </c>
    </row>
    <row r="17" spans="1:13" x14ac:dyDescent="0.25">
      <c r="A17" s="5" t="s">
        <v>57</v>
      </c>
      <c r="B17" s="5" t="s">
        <v>60</v>
      </c>
      <c r="C17" s="5" t="s">
        <v>91</v>
      </c>
      <c r="D17" s="5" t="s">
        <v>36</v>
      </c>
      <c r="E17" s="4">
        <v>1100</v>
      </c>
      <c r="F17" s="5"/>
      <c r="G17" s="5"/>
      <c r="H17" s="5"/>
      <c r="I17" s="4" t="s">
        <v>63</v>
      </c>
      <c r="J17" s="5" t="s">
        <v>57</v>
      </c>
      <c r="K17" s="4">
        <v>1100</v>
      </c>
      <c r="L17" s="5" t="s">
        <v>66</v>
      </c>
      <c r="M17" s="4">
        <f>E17-K17</f>
        <v>0</v>
      </c>
    </row>
    <row r="18" spans="1:13" x14ac:dyDescent="0.25">
      <c r="A18" s="5" t="s">
        <v>38</v>
      </c>
      <c r="B18" s="5" t="s">
        <v>41</v>
      </c>
      <c r="C18" s="5" t="s">
        <v>27</v>
      </c>
      <c r="D18" s="5" t="s">
        <v>42</v>
      </c>
      <c r="E18" s="4">
        <v>1750</v>
      </c>
      <c r="F18" s="5"/>
      <c r="G18" s="5"/>
      <c r="H18" s="5"/>
      <c r="I18" s="4" t="s">
        <v>28</v>
      </c>
      <c r="J18" s="5" t="s">
        <v>29</v>
      </c>
      <c r="K18" s="4">
        <v>150</v>
      </c>
      <c r="L18" s="5" t="s">
        <v>68</v>
      </c>
      <c r="M18" s="4">
        <f>E18-K18</f>
        <v>1600</v>
      </c>
    </row>
    <row r="19" spans="1:13" x14ac:dyDescent="0.25">
      <c r="A19" s="5" t="s">
        <v>38</v>
      </c>
      <c r="B19" s="5" t="s">
        <v>44</v>
      </c>
      <c r="C19" s="5" t="s">
        <v>27</v>
      </c>
      <c r="D19" s="5" t="s">
        <v>45</v>
      </c>
      <c r="E19" s="4">
        <v>750</v>
      </c>
      <c r="F19" s="5"/>
      <c r="G19" s="5"/>
      <c r="H19" s="5"/>
      <c r="I19" s="4" t="s">
        <v>37</v>
      </c>
      <c r="J19" s="5" t="s">
        <v>37</v>
      </c>
      <c r="K19" s="4"/>
      <c r="L19" s="5" t="s">
        <v>37</v>
      </c>
      <c r="M19" s="4">
        <f>E19</f>
        <v>750</v>
      </c>
    </row>
    <row r="20" spans="1:13" x14ac:dyDescent="0.25">
      <c r="A20" s="5" t="s">
        <v>46</v>
      </c>
      <c r="B20" s="5" t="s">
        <v>48</v>
      </c>
      <c r="C20" s="5" t="s">
        <v>27</v>
      </c>
      <c r="D20" s="5" t="s">
        <v>47</v>
      </c>
      <c r="E20" s="4">
        <v>3260</v>
      </c>
      <c r="F20" s="5"/>
      <c r="G20" s="5"/>
      <c r="H20" s="5"/>
      <c r="I20" s="4" t="s">
        <v>49</v>
      </c>
      <c r="J20" s="5" t="s">
        <v>46</v>
      </c>
      <c r="K20" s="4">
        <v>1300</v>
      </c>
      <c r="L20" s="5" t="s">
        <v>66</v>
      </c>
      <c r="M20" s="4">
        <f>E20-K20</f>
        <v>1960</v>
      </c>
    </row>
    <row r="21" spans="1:13" x14ac:dyDescent="0.25">
      <c r="A21" s="5" t="s">
        <v>46</v>
      </c>
      <c r="B21" s="5" t="s">
        <v>50</v>
      </c>
      <c r="C21" s="5" t="s">
        <v>27</v>
      </c>
      <c r="D21" s="5" t="s">
        <v>33</v>
      </c>
      <c r="E21" s="4">
        <v>1000</v>
      </c>
      <c r="F21" s="5"/>
      <c r="G21" s="5"/>
      <c r="H21" s="5"/>
      <c r="I21" s="4" t="s">
        <v>28</v>
      </c>
      <c r="J21" s="5" t="s">
        <v>46</v>
      </c>
      <c r="K21" s="4">
        <v>600</v>
      </c>
      <c r="L21" s="5" t="s">
        <v>67</v>
      </c>
      <c r="M21" s="4">
        <f>E21-K21</f>
        <v>400</v>
      </c>
    </row>
    <row r="22" spans="1:13" x14ac:dyDescent="0.25">
      <c r="A22" s="5" t="s">
        <v>46</v>
      </c>
      <c r="B22" s="5" t="s">
        <v>54</v>
      </c>
      <c r="C22" s="5" t="s">
        <v>27</v>
      </c>
      <c r="D22" s="5" t="s">
        <v>34</v>
      </c>
      <c r="E22" s="4">
        <v>10750</v>
      </c>
      <c r="F22" s="5"/>
      <c r="G22" s="5"/>
      <c r="H22" s="5"/>
      <c r="I22" s="4" t="s">
        <v>55</v>
      </c>
      <c r="J22" s="5" t="s">
        <v>46</v>
      </c>
      <c r="K22" s="4">
        <v>9999</v>
      </c>
      <c r="L22" s="5" t="s">
        <v>69</v>
      </c>
      <c r="M22" s="4">
        <f>E22-K22</f>
        <v>751</v>
      </c>
    </row>
    <row r="23" spans="1:13" x14ac:dyDescent="0.25">
      <c r="A23" s="5" t="s">
        <v>56</v>
      </c>
      <c r="B23" s="5" t="s">
        <v>48</v>
      </c>
      <c r="C23" s="5" t="s">
        <v>27</v>
      </c>
      <c r="D23" s="5" t="s">
        <v>47</v>
      </c>
      <c r="E23" s="4">
        <v>3060</v>
      </c>
      <c r="F23" s="5"/>
      <c r="G23" s="5"/>
      <c r="H23" s="5"/>
      <c r="I23" s="4" t="s">
        <v>49</v>
      </c>
      <c r="J23" s="5" t="s">
        <v>46</v>
      </c>
      <c r="K23" s="4">
        <v>1020</v>
      </c>
      <c r="L23" s="5" t="s">
        <v>66</v>
      </c>
      <c r="M23" s="4">
        <f>E23-K23</f>
        <v>2040</v>
      </c>
    </row>
    <row r="24" spans="1:13" x14ac:dyDescent="0.25">
      <c r="A24" s="5" t="s">
        <v>57</v>
      </c>
      <c r="B24" s="5" t="s">
        <v>70</v>
      </c>
      <c r="C24" s="5" t="s">
        <v>27</v>
      </c>
      <c r="D24" s="5" t="s">
        <v>71</v>
      </c>
      <c r="E24" s="4">
        <v>550</v>
      </c>
      <c r="F24" s="5"/>
      <c r="G24" s="5"/>
      <c r="H24" s="5"/>
      <c r="I24" s="4" t="s">
        <v>37</v>
      </c>
      <c r="J24" s="4" t="s">
        <v>37</v>
      </c>
      <c r="K24" s="4" t="s">
        <v>37</v>
      </c>
      <c r="L24" s="4" t="s">
        <v>37</v>
      </c>
      <c r="M24" s="4">
        <f>E24</f>
        <v>550</v>
      </c>
    </row>
    <row r="25" spans="1:13" x14ac:dyDescent="0.25">
      <c r="A25" s="5" t="s">
        <v>73</v>
      </c>
      <c r="B25" s="5" t="s">
        <v>31</v>
      </c>
      <c r="C25" s="5" t="s">
        <v>27</v>
      </c>
      <c r="D25" s="5" t="s">
        <v>33</v>
      </c>
      <c r="E25" s="4">
        <v>1750</v>
      </c>
      <c r="F25" s="5"/>
      <c r="G25" s="5"/>
      <c r="H25" s="5"/>
      <c r="I25" s="4" t="s">
        <v>28</v>
      </c>
      <c r="J25" s="4" t="s">
        <v>24</v>
      </c>
      <c r="K25" s="4">
        <v>800</v>
      </c>
      <c r="L25" s="4" t="s">
        <v>67</v>
      </c>
      <c r="M25" s="4">
        <f>E25-K25</f>
        <v>950</v>
      </c>
    </row>
    <row r="26" spans="1:13" x14ac:dyDescent="0.25">
      <c r="A26" s="5" t="s">
        <v>73</v>
      </c>
      <c r="B26" s="5" t="s">
        <v>81</v>
      </c>
      <c r="C26" s="5" t="s">
        <v>27</v>
      </c>
      <c r="D26" s="5" t="s">
        <v>33</v>
      </c>
      <c r="E26" s="4">
        <v>650</v>
      </c>
      <c r="F26" s="5"/>
      <c r="G26" s="5"/>
      <c r="H26" s="5"/>
      <c r="I26" s="4" t="s">
        <v>82</v>
      </c>
      <c r="J26" s="4" t="s">
        <v>80</v>
      </c>
      <c r="K26" s="4">
        <f>339+169</f>
        <v>508</v>
      </c>
      <c r="L26" s="4" t="s">
        <v>83</v>
      </c>
      <c r="M26" s="4">
        <f>E26-K26</f>
        <v>142</v>
      </c>
    </row>
    <row r="27" spans="1:13" x14ac:dyDescent="0.25">
      <c r="A27" s="5" t="s">
        <v>73</v>
      </c>
      <c r="B27" s="5" t="s">
        <v>74</v>
      </c>
      <c r="C27" s="5" t="s">
        <v>27</v>
      </c>
      <c r="D27" s="5" t="s">
        <v>34</v>
      </c>
      <c r="E27" s="4">
        <v>2200</v>
      </c>
      <c r="F27" s="5"/>
      <c r="G27" s="5"/>
      <c r="H27" s="5"/>
      <c r="I27" s="4" t="s">
        <v>75</v>
      </c>
      <c r="J27" s="5" t="s">
        <v>56</v>
      </c>
      <c r="K27" s="4">
        <v>600</v>
      </c>
      <c r="L27" s="5" t="s">
        <v>66</v>
      </c>
      <c r="M27" s="4">
        <f>E27-K27</f>
        <v>1600</v>
      </c>
    </row>
    <row r="28" spans="1:13" x14ac:dyDescent="0.25">
      <c r="A28" s="5" t="s">
        <v>73</v>
      </c>
      <c r="B28" s="5" t="s">
        <v>78</v>
      </c>
      <c r="C28" s="5" t="s">
        <v>27</v>
      </c>
      <c r="D28" s="5" t="s">
        <v>79</v>
      </c>
      <c r="E28" s="4">
        <v>450</v>
      </c>
      <c r="F28" s="5"/>
      <c r="G28" s="5"/>
      <c r="H28" s="5"/>
      <c r="I28" s="4" t="s">
        <v>37</v>
      </c>
      <c r="J28" s="4" t="s">
        <v>37</v>
      </c>
      <c r="K28" s="4" t="s">
        <v>37</v>
      </c>
      <c r="L28" s="4" t="s">
        <v>37</v>
      </c>
      <c r="M28" s="4">
        <f>E28</f>
        <v>450</v>
      </c>
    </row>
    <row r="29" spans="1:13" x14ac:dyDescent="0.25">
      <c r="A29" s="5" t="s">
        <v>80</v>
      </c>
      <c r="B29" s="5" t="s">
        <v>48</v>
      </c>
      <c r="C29" s="5" t="s">
        <v>27</v>
      </c>
      <c r="D29" s="5" t="s">
        <v>47</v>
      </c>
      <c r="E29" s="4">
        <v>3260</v>
      </c>
      <c r="F29" s="5"/>
      <c r="G29" s="5"/>
      <c r="H29" s="5"/>
      <c r="I29" s="4" t="s">
        <v>49</v>
      </c>
      <c r="J29" s="4" t="s">
        <v>80</v>
      </c>
      <c r="K29" s="4">
        <v>1600</v>
      </c>
      <c r="L29" s="4" t="s">
        <v>66</v>
      </c>
      <c r="M29" s="4">
        <f>E29-K29</f>
        <v>1660</v>
      </c>
    </row>
    <row r="30" spans="1:13" x14ac:dyDescent="0.25">
      <c r="A30" s="5" t="s">
        <v>89</v>
      </c>
      <c r="B30" s="5" t="s">
        <v>90</v>
      </c>
      <c r="C30" s="5" t="s">
        <v>91</v>
      </c>
      <c r="D30" s="5" t="s">
        <v>47</v>
      </c>
      <c r="E30" s="4">
        <v>8950</v>
      </c>
      <c r="F30" s="5"/>
      <c r="G30" s="5"/>
      <c r="H30" s="5"/>
      <c r="I30" s="4" t="s">
        <v>92</v>
      </c>
      <c r="J30" s="4" t="s">
        <v>89</v>
      </c>
      <c r="K30" s="4">
        <v>6000</v>
      </c>
      <c r="L30" s="4" t="s">
        <v>66</v>
      </c>
      <c r="M30" s="4">
        <f>E30-K30</f>
        <v>2950</v>
      </c>
    </row>
    <row r="31" spans="1:13" x14ac:dyDescent="0.25">
      <c r="A31" s="5" t="s">
        <v>89</v>
      </c>
      <c r="B31" s="5" t="s">
        <v>93</v>
      </c>
      <c r="C31" s="5" t="s">
        <v>27</v>
      </c>
      <c r="D31" s="5" t="s">
        <v>33</v>
      </c>
      <c r="E31" s="4">
        <v>2950</v>
      </c>
      <c r="F31" s="5"/>
      <c r="G31" s="5"/>
      <c r="H31" s="5"/>
      <c r="I31" s="4" t="s">
        <v>94</v>
      </c>
      <c r="J31" s="4" t="s">
        <v>89</v>
      </c>
      <c r="K31" s="4">
        <v>1300</v>
      </c>
      <c r="L31" s="4" t="s">
        <v>66</v>
      </c>
      <c r="M31" s="4">
        <f>E31-K31</f>
        <v>1650</v>
      </c>
    </row>
    <row r="32" spans="1:13" x14ac:dyDescent="0.25">
      <c r="A32" s="2"/>
      <c r="B32" s="2"/>
      <c r="C32" s="2"/>
      <c r="D32" s="2"/>
      <c r="F32" s="2"/>
      <c r="G32" s="2"/>
      <c r="H32" s="2"/>
      <c r="J32" s="2"/>
      <c r="L32" s="2"/>
    </row>
    <row r="33" spans="1:13" x14ac:dyDescent="0.25">
      <c r="A33" s="2"/>
      <c r="B33" s="2"/>
      <c r="C33" s="2"/>
      <c r="D33" s="2"/>
      <c r="F33" s="2"/>
      <c r="G33" s="2"/>
      <c r="H33" s="2"/>
      <c r="J33" s="2"/>
      <c r="L33" s="2"/>
    </row>
    <row r="34" spans="1:13" x14ac:dyDescent="0.25">
      <c r="A34" s="2"/>
      <c r="B34" s="2"/>
      <c r="C34" s="2"/>
      <c r="D34" s="2"/>
      <c r="F34" s="2"/>
      <c r="G34" s="2"/>
      <c r="H34" s="2"/>
      <c r="J34" s="2"/>
      <c r="L34" s="2"/>
    </row>
    <row r="35" spans="1:13" x14ac:dyDescent="0.25">
      <c r="A35" s="2"/>
      <c r="B35" s="2"/>
      <c r="C35" s="2"/>
      <c r="D35" s="2"/>
      <c r="F35" s="2"/>
      <c r="G35" s="2"/>
      <c r="H35" s="2"/>
      <c r="J35" s="2"/>
      <c r="L35" s="2"/>
    </row>
    <row r="36" spans="1:13" x14ac:dyDescent="0.25">
      <c r="A36" s="2"/>
      <c r="B36" s="2"/>
      <c r="C36" s="2"/>
      <c r="D36" s="2"/>
      <c r="F36" s="2"/>
      <c r="G36" s="2"/>
      <c r="H36" s="2"/>
      <c r="J36" s="2"/>
      <c r="L36" s="2"/>
    </row>
    <row r="37" spans="1:13" x14ac:dyDescent="0.25">
      <c r="A37" s="2"/>
      <c r="B37" s="2"/>
      <c r="C37" s="2"/>
      <c r="D37" s="2"/>
      <c r="F37" s="2"/>
      <c r="G37" s="2"/>
      <c r="H37" s="2"/>
      <c r="J37" s="2"/>
      <c r="L37" s="2"/>
    </row>
    <row r="38" spans="1:13" x14ac:dyDescent="0.25">
      <c r="A38" s="2"/>
      <c r="B38" s="2"/>
      <c r="C38" s="2"/>
      <c r="D38" s="2"/>
      <c r="F38" s="2"/>
      <c r="G38" s="2"/>
      <c r="H38" s="2"/>
      <c r="I38" s="2">
        <v>22750</v>
      </c>
      <c r="J38" s="2"/>
      <c r="L38" s="2"/>
    </row>
    <row r="39" spans="1:13" x14ac:dyDescent="0.25">
      <c r="A39" s="2"/>
      <c r="B39" s="2"/>
      <c r="C39" s="2"/>
      <c r="D39" s="2"/>
      <c r="F39" s="2"/>
      <c r="G39" s="2"/>
      <c r="H39" s="2"/>
      <c r="K39" s="6"/>
      <c r="M39" s="6"/>
    </row>
    <row r="40" spans="1:13" x14ac:dyDescent="0.25">
      <c r="A40" s="2" t="s">
        <v>46</v>
      </c>
      <c r="B40" s="2" t="s">
        <v>51</v>
      </c>
      <c r="C40" s="2">
        <v>900</v>
      </c>
      <c r="D40" s="2"/>
      <c r="F40" s="2"/>
      <c r="G40" s="2"/>
      <c r="H40" s="2"/>
      <c r="I40" s="2">
        <v>16500</v>
      </c>
      <c r="K40" s="6"/>
      <c r="M40" s="6"/>
    </row>
    <row r="41" spans="1:13" x14ac:dyDescent="0.25">
      <c r="A41" s="2" t="s">
        <v>46</v>
      </c>
      <c r="B41" s="2" t="s">
        <v>76</v>
      </c>
      <c r="C41" s="2">
        <v>500</v>
      </c>
      <c r="D41" s="2"/>
      <c r="F41" s="2"/>
      <c r="G41" s="2"/>
      <c r="H41" s="2"/>
      <c r="I41" s="2">
        <v>1700</v>
      </c>
      <c r="K41" s="6"/>
      <c r="M41" s="6"/>
    </row>
    <row r="42" spans="1:13" x14ac:dyDescent="0.25">
      <c r="A42" s="2" t="s">
        <v>46</v>
      </c>
      <c r="B42" s="2" t="s">
        <v>52</v>
      </c>
      <c r="C42" s="2">
        <v>3500</v>
      </c>
      <c r="D42" s="2"/>
      <c r="F42" s="2"/>
      <c r="G42" s="2"/>
      <c r="H42" s="2"/>
      <c r="K42" s="6"/>
      <c r="M42" s="6"/>
    </row>
    <row r="43" spans="1:13" x14ac:dyDescent="0.25">
      <c r="A43" s="2" t="s">
        <v>46</v>
      </c>
      <c r="B43" s="2" t="s">
        <v>77</v>
      </c>
      <c r="C43" s="2">
        <v>500</v>
      </c>
      <c r="D43" s="2"/>
      <c r="F43" s="2"/>
      <c r="G43" s="2"/>
      <c r="H43" s="2"/>
      <c r="I43" s="2">
        <f>I38-I40-I41</f>
        <v>4550</v>
      </c>
      <c r="K43" s="6"/>
      <c r="M43" s="6"/>
    </row>
    <row r="44" spans="1:13" x14ac:dyDescent="0.25">
      <c r="A44" s="2" t="s">
        <v>80</v>
      </c>
      <c r="B44" s="2" t="s">
        <v>84</v>
      </c>
      <c r="C44" s="2">
        <v>3000</v>
      </c>
      <c r="D44" s="2"/>
      <c r="F44" s="2"/>
      <c r="G44" s="2"/>
      <c r="H44" s="2"/>
      <c r="K44" s="6"/>
      <c r="M44" s="6"/>
    </row>
    <row r="45" spans="1:13" x14ac:dyDescent="0.25">
      <c r="A45" s="2" t="s">
        <v>88</v>
      </c>
      <c r="B45" s="2" t="s">
        <v>51</v>
      </c>
      <c r="C45" s="2">
        <v>900</v>
      </c>
      <c r="D45" s="2"/>
      <c r="F45" s="2"/>
      <c r="G45" s="2"/>
      <c r="H45" s="2"/>
      <c r="K45" s="6"/>
      <c r="M45" s="6"/>
    </row>
    <row r="46" spans="1:13" x14ac:dyDescent="0.25">
      <c r="A46" s="2" t="s">
        <v>88</v>
      </c>
      <c r="B46" s="2" t="s">
        <v>76</v>
      </c>
      <c r="C46" s="2">
        <v>500</v>
      </c>
      <c r="D46" s="2"/>
      <c r="F46" s="2"/>
      <c r="G46" s="2"/>
      <c r="H46" s="2"/>
      <c r="K46" s="6"/>
      <c r="M46" s="6"/>
    </row>
    <row r="47" spans="1:13" x14ac:dyDescent="0.25">
      <c r="A47" s="2"/>
      <c r="B47" s="2"/>
      <c r="C47" s="2"/>
      <c r="D47" s="2"/>
      <c r="F47" s="2"/>
      <c r="G47" s="2"/>
      <c r="H47" s="2"/>
      <c r="K47" s="6"/>
      <c r="M47" s="6"/>
    </row>
    <row r="48" spans="1:13" x14ac:dyDescent="0.25">
      <c r="A48" s="2"/>
      <c r="B48" s="2"/>
      <c r="C48" s="2"/>
      <c r="D48" s="2"/>
      <c r="F48" s="2"/>
      <c r="G48" s="2"/>
      <c r="H48" s="2"/>
      <c r="K48" s="6"/>
      <c r="M48" s="6"/>
    </row>
    <row r="49" spans="1:13" x14ac:dyDescent="0.25">
      <c r="A49" s="2"/>
      <c r="B49" s="2"/>
      <c r="C49" s="2"/>
      <c r="D49" s="2"/>
      <c r="F49" s="2"/>
      <c r="G49" s="2"/>
      <c r="H49" s="2"/>
      <c r="K49" s="6"/>
      <c r="M49" s="6"/>
    </row>
    <row r="50" spans="1:13" x14ac:dyDescent="0.25">
      <c r="A50" s="2"/>
      <c r="B50" s="2"/>
      <c r="C50" s="2"/>
      <c r="D50" s="2"/>
      <c r="F50" s="2"/>
      <c r="G50" s="2"/>
      <c r="H50" s="2"/>
      <c r="K50" s="6"/>
      <c r="M50" s="6"/>
    </row>
    <row r="51" spans="1:13" x14ac:dyDescent="0.25">
      <c r="A51" s="2"/>
      <c r="B51" s="2"/>
      <c r="C51" s="2"/>
      <c r="D51" s="2"/>
      <c r="F51" s="2"/>
      <c r="G51" s="2"/>
      <c r="H51" s="2"/>
      <c r="K51" s="6"/>
      <c r="M51" s="6"/>
    </row>
    <row r="52" spans="1:13" x14ac:dyDescent="0.25">
      <c r="A52" s="2"/>
      <c r="B52" s="2"/>
      <c r="C52" s="2"/>
      <c r="D52" s="2"/>
      <c r="F52" s="2"/>
      <c r="G52" s="2"/>
      <c r="H52" s="2"/>
      <c r="K52" s="6"/>
      <c r="M52" s="6"/>
    </row>
    <row r="53" spans="1:13" s="1" customFormat="1" x14ac:dyDescent="0.25">
      <c r="A53" s="1" t="s">
        <v>18</v>
      </c>
      <c r="C53" s="7"/>
      <c r="E53" s="7"/>
      <c r="I53" s="7"/>
      <c r="K53" s="7"/>
      <c r="M53" s="7"/>
    </row>
    <row r="54" spans="1:13" x14ac:dyDescent="0.25">
      <c r="C54" s="6"/>
      <c r="E54" s="6"/>
      <c r="I54" s="6"/>
      <c r="K54" s="6"/>
      <c r="M54" s="6"/>
    </row>
    <row r="55" spans="1:13" x14ac:dyDescent="0.25">
      <c r="A55" s="8" t="s">
        <v>53</v>
      </c>
      <c r="C55" s="6"/>
      <c r="E55" s="6"/>
      <c r="I55" s="6"/>
      <c r="K55" s="6"/>
      <c r="M55" s="6"/>
    </row>
    <row r="56" spans="1:13" x14ac:dyDescent="0.25">
      <c r="A56" t="s">
        <v>19</v>
      </c>
      <c r="C56" s="6"/>
      <c r="E56" s="6">
        <v>6000</v>
      </c>
      <c r="I56" s="6"/>
      <c r="K56" s="6"/>
      <c r="M56" s="6"/>
    </row>
    <row r="57" spans="1:13" x14ac:dyDescent="0.25">
      <c r="A57" t="s">
        <v>20</v>
      </c>
      <c r="C57" s="6"/>
      <c r="E57" s="6">
        <v>2000</v>
      </c>
      <c r="I57" s="6"/>
      <c r="K57" s="6"/>
      <c r="M57" s="6"/>
    </row>
    <row r="58" spans="1:13" x14ac:dyDescent="0.25">
      <c r="A58" s="5" t="s">
        <v>21</v>
      </c>
      <c r="B58" s="5"/>
      <c r="C58" s="4"/>
      <c r="D58" s="5"/>
      <c r="E58" s="4">
        <v>3500</v>
      </c>
      <c r="I58" s="6"/>
      <c r="K58" s="6"/>
      <c r="M58" s="6"/>
    </row>
    <row r="59" spans="1:13" x14ac:dyDescent="0.25">
      <c r="A59" s="5" t="s">
        <v>22</v>
      </c>
      <c r="B59" s="5"/>
      <c r="C59" s="4"/>
      <c r="D59" s="5"/>
      <c r="E59" s="4">
        <v>3200</v>
      </c>
      <c r="I59" s="6"/>
      <c r="K59" s="6"/>
      <c r="M59" s="6"/>
    </row>
    <row r="60" spans="1:13" x14ac:dyDescent="0.25">
      <c r="A60" s="5" t="s">
        <v>23</v>
      </c>
      <c r="B60" s="5"/>
      <c r="C60" s="4"/>
      <c r="D60" s="5"/>
      <c r="E60" s="4">
        <f>400*4</f>
        <v>1600</v>
      </c>
      <c r="I60" s="6"/>
      <c r="K60" s="6"/>
      <c r="M60" s="6"/>
    </row>
    <row r="61" spans="1:13" x14ac:dyDescent="0.25">
      <c r="A61" s="5" t="s">
        <v>72</v>
      </c>
      <c r="B61" s="5"/>
      <c r="C61" s="4"/>
      <c r="D61" s="5"/>
      <c r="E61" s="4">
        <v>750</v>
      </c>
      <c r="I61" s="6"/>
      <c r="K61" s="6"/>
      <c r="M61" s="6"/>
    </row>
    <row r="62" spans="1:13" x14ac:dyDescent="0.25">
      <c r="A62" s="5" t="s">
        <v>87</v>
      </c>
      <c r="B62" s="5"/>
      <c r="C62" s="4"/>
      <c r="D62" s="5"/>
      <c r="E62" s="4">
        <v>1050</v>
      </c>
      <c r="I62" s="6"/>
      <c r="K62" s="6"/>
      <c r="M62" s="6"/>
    </row>
    <row r="63" spans="1:13" x14ac:dyDescent="0.25">
      <c r="C63" s="6"/>
      <c r="E63" s="6"/>
      <c r="I63" s="6"/>
      <c r="K63" s="6"/>
      <c r="M63" s="6"/>
    </row>
    <row r="64" spans="1:13" x14ac:dyDescent="0.25">
      <c r="C64" s="6"/>
      <c r="E64" s="6"/>
      <c r="I64" s="6"/>
      <c r="K64" s="6"/>
      <c r="M64" s="6"/>
    </row>
    <row r="65" spans="3:13" x14ac:dyDescent="0.25">
      <c r="C65" s="6"/>
      <c r="E65" s="6"/>
      <c r="I65" s="6"/>
      <c r="K65" s="6"/>
      <c r="M65" s="6"/>
    </row>
    <row r="66" spans="3:13" x14ac:dyDescent="0.25">
      <c r="C66" s="6"/>
      <c r="E66" s="6"/>
      <c r="I66" s="6"/>
      <c r="K66" s="6"/>
      <c r="M66" s="6"/>
    </row>
    <row r="67" spans="3:13" x14ac:dyDescent="0.25">
      <c r="C67" s="6"/>
      <c r="E67" s="6"/>
      <c r="I67" s="6"/>
      <c r="K67" s="6"/>
      <c r="M67" s="6"/>
    </row>
    <row r="68" spans="3:13" x14ac:dyDescent="0.25">
      <c r="C68" s="6"/>
      <c r="E68" s="6"/>
      <c r="I68" s="6"/>
      <c r="K68" s="6"/>
      <c r="M68" s="6"/>
    </row>
    <row r="69" spans="3:13" x14ac:dyDescent="0.25">
      <c r="C69" s="6"/>
      <c r="E69" s="6"/>
      <c r="I69" s="6"/>
      <c r="K69" s="6"/>
      <c r="M69" s="6"/>
    </row>
    <row r="70" spans="3:13" x14ac:dyDescent="0.25">
      <c r="C70" s="6"/>
      <c r="E70" s="6"/>
      <c r="I70" s="6"/>
      <c r="K70" s="6"/>
      <c r="M70" s="6"/>
    </row>
    <row r="71" spans="3:13" x14ac:dyDescent="0.25">
      <c r="C71" s="6"/>
      <c r="E71" s="6"/>
      <c r="I71" s="6"/>
      <c r="K71" s="6"/>
      <c r="M71" s="6"/>
    </row>
    <row r="72" spans="3:13" x14ac:dyDescent="0.25">
      <c r="E72" s="6"/>
      <c r="I72" s="6"/>
      <c r="K72" s="6"/>
      <c r="M72" s="6"/>
    </row>
    <row r="73" spans="3:13" x14ac:dyDescent="0.25">
      <c r="E73" s="6"/>
      <c r="I73" s="6"/>
      <c r="K73" s="6"/>
      <c r="M73" s="6"/>
    </row>
    <row r="74" spans="3:13" x14ac:dyDescent="0.25">
      <c r="E74" s="6"/>
      <c r="I74" s="6"/>
      <c r="K74" s="6"/>
      <c r="M74" s="6"/>
    </row>
    <row r="75" spans="3:13" x14ac:dyDescent="0.25">
      <c r="E75" s="6"/>
      <c r="I75" s="6"/>
      <c r="K75" s="6"/>
      <c r="M75" s="6"/>
    </row>
    <row r="76" spans="3:13" x14ac:dyDescent="0.25">
      <c r="E76" s="6"/>
      <c r="I76" s="6"/>
      <c r="K76" s="6"/>
      <c r="M76" s="6"/>
    </row>
    <row r="77" spans="3:13" x14ac:dyDescent="0.25">
      <c r="E77" s="6"/>
      <c r="I77" s="6"/>
      <c r="K77" s="6"/>
      <c r="M77" s="6"/>
    </row>
    <row r="78" spans="3:13" x14ac:dyDescent="0.25">
      <c r="E78" s="6"/>
      <c r="I78" s="6"/>
      <c r="K78" s="6"/>
      <c r="M78" s="6"/>
    </row>
    <row r="79" spans="3:13" x14ac:dyDescent="0.25">
      <c r="E79" s="6"/>
      <c r="I79" s="6"/>
      <c r="K79" s="6"/>
      <c r="M79" s="6"/>
    </row>
    <row r="80" spans="3:13" x14ac:dyDescent="0.25">
      <c r="E80" s="6"/>
      <c r="I80" s="6"/>
      <c r="K80" s="6"/>
      <c r="M80" s="6"/>
    </row>
    <row r="81" spans="5:13" x14ac:dyDescent="0.25">
      <c r="E81" s="6"/>
      <c r="I81" s="6"/>
      <c r="K81" s="6"/>
      <c r="M81" s="6"/>
    </row>
    <row r="82" spans="5:13" x14ac:dyDescent="0.25">
      <c r="E82" s="6"/>
      <c r="I82" s="6"/>
      <c r="K82" s="6"/>
      <c r="M82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M93"/>
  <sheetViews>
    <sheetView workbookViewId="0">
      <pane ySplit="3" topLeftCell="A13" activePane="bottomLeft" state="frozen"/>
      <selection activeCell="B1" sqref="B1"/>
      <selection pane="bottomLeft" activeCell="A13" sqref="A13"/>
    </sheetView>
  </sheetViews>
  <sheetFormatPr baseColWidth="10" defaultColWidth="10.7109375" defaultRowHeight="15" x14ac:dyDescent="0.25"/>
  <cols>
    <col min="1" max="1" width="22.7109375" customWidth="1"/>
    <col min="2" max="2" width="51" customWidth="1"/>
    <col min="3" max="3" width="39.85546875" customWidth="1"/>
    <col min="4" max="4" width="43.28515625" customWidth="1"/>
    <col min="5" max="5" width="11.42578125" style="2"/>
    <col min="9" max="9" width="42.42578125" style="2" customWidth="1"/>
    <col min="10" max="10" width="31.85546875" customWidth="1"/>
    <col min="11" max="11" width="18" style="2" customWidth="1"/>
    <col min="12" max="12" width="18" customWidth="1"/>
    <col min="13" max="13" width="19.28515625" style="2" customWidth="1"/>
  </cols>
  <sheetData>
    <row r="1" spans="1:13" s="1" customFormat="1" x14ac:dyDescent="0.25">
      <c r="A1" s="1" t="s">
        <v>0</v>
      </c>
      <c r="E1" s="3"/>
      <c r="I1" s="3"/>
      <c r="K1" s="3"/>
      <c r="M1" s="3"/>
    </row>
    <row r="3" spans="1:13" s="1" customFormat="1" x14ac:dyDescent="0.25">
      <c r="A3" s="1" t="s">
        <v>1</v>
      </c>
      <c r="B3" s="1" t="s">
        <v>3</v>
      </c>
      <c r="C3" s="1" t="s">
        <v>2</v>
      </c>
      <c r="D3" s="1" t="s">
        <v>32</v>
      </c>
      <c r="E3" s="3" t="s">
        <v>4</v>
      </c>
      <c r="I3" s="3" t="s">
        <v>11</v>
      </c>
      <c r="J3" s="1" t="s">
        <v>8</v>
      </c>
      <c r="K3" s="3" t="s">
        <v>9</v>
      </c>
      <c r="L3" s="1" t="s">
        <v>64</v>
      </c>
      <c r="M3" s="3" t="s">
        <v>13</v>
      </c>
    </row>
    <row r="4" spans="1:13" x14ac:dyDescent="0.25">
      <c r="A4" s="5" t="s">
        <v>99</v>
      </c>
      <c r="B4" s="5" t="s">
        <v>100</v>
      </c>
      <c r="C4" s="5" t="s">
        <v>27</v>
      </c>
      <c r="D4" s="5" t="s">
        <v>33</v>
      </c>
      <c r="E4" s="4">
        <v>300</v>
      </c>
      <c r="F4" s="5"/>
      <c r="G4" s="5"/>
      <c r="H4" s="5"/>
      <c r="I4" s="4" t="s">
        <v>37</v>
      </c>
      <c r="J4" s="4" t="s">
        <v>37</v>
      </c>
      <c r="K4" s="4" t="s">
        <v>37</v>
      </c>
      <c r="L4" s="4" t="s">
        <v>37</v>
      </c>
      <c r="M4" s="4">
        <f>E4</f>
        <v>300</v>
      </c>
    </row>
    <row r="5" spans="1:13" x14ac:dyDescent="0.25">
      <c r="A5" s="5" t="s">
        <v>99</v>
      </c>
      <c r="B5" s="5" t="s">
        <v>103</v>
      </c>
      <c r="C5" s="5" t="s">
        <v>27</v>
      </c>
      <c r="D5" s="5" t="s">
        <v>33</v>
      </c>
      <c r="E5" s="4">
        <v>350</v>
      </c>
      <c r="F5" s="5"/>
      <c r="G5" s="5"/>
      <c r="H5" s="5"/>
      <c r="I5" s="4" t="s">
        <v>37</v>
      </c>
      <c r="J5" s="4" t="s">
        <v>37</v>
      </c>
      <c r="K5" s="4" t="s">
        <v>37</v>
      </c>
      <c r="L5" s="4" t="s">
        <v>37</v>
      </c>
      <c r="M5" s="4">
        <f>E5</f>
        <v>350</v>
      </c>
    </row>
    <row r="6" spans="1:13" x14ac:dyDescent="0.25">
      <c r="A6" s="5" t="s">
        <v>104</v>
      </c>
      <c r="B6" s="5" t="s">
        <v>105</v>
      </c>
      <c r="C6" s="5" t="s">
        <v>106</v>
      </c>
      <c r="D6" s="5" t="s">
        <v>33</v>
      </c>
      <c r="E6" s="4">
        <v>700</v>
      </c>
      <c r="F6" s="5"/>
      <c r="G6" s="5"/>
      <c r="H6" s="5"/>
      <c r="I6" s="4" t="s">
        <v>37</v>
      </c>
      <c r="J6" s="4" t="s">
        <v>37</v>
      </c>
      <c r="K6" s="4" t="s">
        <v>37</v>
      </c>
      <c r="L6" s="4" t="s">
        <v>37</v>
      </c>
      <c r="M6" s="4">
        <f>E6</f>
        <v>700</v>
      </c>
    </row>
    <row r="7" spans="1:13" x14ac:dyDescent="0.25">
      <c r="A7" s="5" t="s">
        <v>107</v>
      </c>
      <c r="B7" s="5" t="s">
        <v>110</v>
      </c>
      <c r="C7" s="5" t="s">
        <v>27</v>
      </c>
      <c r="D7" s="5" t="s">
        <v>33</v>
      </c>
      <c r="E7" s="4">
        <v>3200</v>
      </c>
      <c r="F7" s="5"/>
      <c r="G7" s="5"/>
      <c r="H7" s="5"/>
      <c r="I7" s="4" t="s">
        <v>111</v>
      </c>
      <c r="J7" s="4" t="s">
        <v>107</v>
      </c>
      <c r="K7" s="4">
        <v>1450</v>
      </c>
      <c r="L7" s="4" t="s">
        <v>66</v>
      </c>
      <c r="M7" s="4">
        <f t="shared" ref="M7" si="0">E7-K7</f>
        <v>1750</v>
      </c>
    </row>
    <row r="8" spans="1:13" x14ac:dyDescent="0.25">
      <c r="A8" s="5" t="s">
        <v>112</v>
      </c>
      <c r="B8" s="5" t="s">
        <v>114</v>
      </c>
      <c r="C8" s="5" t="s">
        <v>27</v>
      </c>
      <c r="D8" s="5" t="s">
        <v>33</v>
      </c>
      <c r="E8" s="4">
        <v>1000</v>
      </c>
      <c r="F8" s="5"/>
      <c r="G8" s="5"/>
      <c r="H8" s="5"/>
      <c r="I8" s="4" t="s">
        <v>37</v>
      </c>
      <c r="J8" s="4" t="s">
        <v>37</v>
      </c>
      <c r="K8" s="4" t="s">
        <v>37</v>
      </c>
      <c r="L8" s="4" t="s">
        <v>37</v>
      </c>
      <c r="M8" s="4">
        <f>E8</f>
        <v>1000</v>
      </c>
    </row>
    <row r="9" spans="1:13" x14ac:dyDescent="0.25">
      <c r="A9" s="5" t="s">
        <v>117</v>
      </c>
      <c r="B9" s="5" t="s">
        <v>118</v>
      </c>
      <c r="C9" s="5" t="s">
        <v>106</v>
      </c>
      <c r="D9" s="5" t="s">
        <v>33</v>
      </c>
      <c r="E9" s="4">
        <v>350</v>
      </c>
      <c r="F9" s="5"/>
      <c r="G9" s="5"/>
      <c r="H9" s="5"/>
      <c r="I9" s="4" t="s">
        <v>37</v>
      </c>
      <c r="J9" s="4" t="s">
        <v>37</v>
      </c>
      <c r="K9" s="4" t="s">
        <v>37</v>
      </c>
      <c r="L9" s="4" t="s">
        <v>37</v>
      </c>
      <c r="M9" s="4">
        <f>E9</f>
        <v>350</v>
      </c>
    </row>
    <row r="10" spans="1:13" x14ac:dyDescent="0.25">
      <c r="A10" s="5" t="s">
        <v>117</v>
      </c>
      <c r="B10" s="5" t="s">
        <v>119</v>
      </c>
      <c r="C10" s="5" t="s">
        <v>27</v>
      </c>
      <c r="D10" s="5" t="s">
        <v>33</v>
      </c>
      <c r="E10" s="4">
        <v>1250</v>
      </c>
      <c r="F10" s="5"/>
      <c r="G10" s="5"/>
      <c r="H10" s="5"/>
      <c r="I10" s="4" t="s">
        <v>37</v>
      </c>
      <c r="J10" s="4" t="s">
        <v>37</v>
      </c>
      <c r="K10" s="4" t="s">
        <v>37</v>
      </c>
      <c r="L10" s="4" t="s">
        <v>37</v>
      </c>
      <c r="M10" s="4">
        <f>E10</f>
        <v>1250</v>
      </c>
    </row>
    <row r="11" spans="1:13" x14ac:dyDescent="0.25">
      <c r="A11" s="5" t="s">
        <v>121</v>
      </c>
      <c r="B11" s="5" t="s">
        <v>122</v>
      </c>
      <c r="C11" s="5" t="s">
        <v>125</v>
      </c>
      <c r="D11" s="5" t="s">
        <v>124</v>
      </c>
      <c r="E11" s="4">
        <f>1450+350</f>
        <v>1800</v>
      </c>
      <c r="F11" s="5"/>
      <c r="G11" s="5"/>
      <c r="H11" s="5"/>
      <c r="I11" s="4" t="s">
        <v>123</v>
      </c>
      <c r="J11" s="4" t="s">
        <v>121</v>
      </c>
      <c r="K11" s="4">
        <v>400</v>
      </c>
      <c r="L11" s="4" t="s">
        <v>66</v>
      </c>
      <c r="M11" s="4">
        <f>E11-K11</f>
        <v>1400</v>
      </c>
    </row>
    <row r="12" spans="1:13" x14ac:dyDescent="0.25">
      <c r="A12" t="s">
        <v>121</v>
      </c>
      <c r="B12" t="s">
        <v>90</v>
      </c>
      <c r="C12" t="s">
        <v>126</v>
      </c>
      <c r="D12" t="s">
        <v>124</v>
      </c>
      <c r="E12" s="6">
        <v>8450</v>
      </c>
      <c r="I12" s="6" t="s">
        <v>127</v>
      </c>
      <c r="J12" s="6" t="s">
        <v>121</v>
      </c>
      <c r="K12" s="6">
        <v>5500</v>
      </c>
      <c r="L12" s="6" t="s">
        <v>66</v>
      </c>
      <c r="M12" s="6">
        <f>E12-K12</f>
        <v>2950</v>
      </c>
    </row>
    <row r="13" spans="1:13" x14ac:dyDescent="0.25">
      <c r="A13" s="5" t="s">
        <v>97</v>
      </c>
      <c r="B13" s="5" t="s">
        <v>130</v>
      </c>
      <c r="C13" s="5" t="s">
        <v>27</v>
      </c>
      <c r="D13" s="5" t="s">
        <v>33</v>
      </c>
      <c r="E13" s="4">
        <v>2100</v>
      </c>
      <c r="F13" s="5"/>
      <c r="G13" s="5"/>
      <c r="H13" s="5"/>
      <c r="I13" s="4" t="s">
        <v>131</v>
      </c>
      <c r="J13" s="4" t="s">
        <v>97</v>
      </c>
      <c r="K13" s="4">
        <v>863</v>
      </c>
      <c r="L13" s="4" t="s">
        <v>66</v>
      </c>
      <c r="M13" s="4">
        <f>E13-K13</f>
        <v>1237</v>
      </c>
    </row>
    <row r="14" spans="1:13" x14ac:dyDescent="0.25">
      <c r="A14" s="5" t="s">
        <v>97</v>
      </c>
      <c r="B14" s="5" t="s">
        <v>136</v>
      </c>
      <c r="C14" s="5" t="s">
        <v>27</v>
      </c>
      <c r="D14" s="5" t="s">
        <v>137</v>
      </c>
      <c r="E14" s="4">
        <v>2750</v>
      </c>
      <c r="F14" s="5"/>
      <c r="G14" s="5"/>
      <c r="H14" s="5"/>
      <c r="I14" s="4" t="s">
        <v>111</v>
      </c>
      <c r="J14" s="4" t="s">
        <v>97</v>
      </c>
      <c r="K14" s="4">
        <v>1000</v>
      </c>
      <c r="L14" s="4" t="s">
        <v>66</v>
      </c>
      <c r="M14" s="4">
        <f>E14-K14</f>
        <v>1750</v>
      </c>
    </row>
    <row r="15" spans="1:13" x14ac:dyDescent="0.25">
      <c r="A15" s="5" t="s">
        <v>97</v>
      </c>
      <c r="B15" s="5" t="s">
        <v>132</v>
      </c>
      <c r="C15" s="5" t="s">
        <v>27</v>
      </c>
      <c r="D15" s="5" t="s">
        <v>33</v>
      </c>
      <c r="E15" s="4">
        <v>500</v>
      </c>
      <c r="F15" s="5"/>
      <c r="G15" s="5"/>
      <c r="H15" s="5"/>
      <c r="I15" s="4" t="s">
        <v>37</v>
      </c>
      <c r="J15" s="4" t="s">
        <v>37</v>
      </c>
      <c r="K15" s="4" t="s">
        <v>37</v>
      </c>
      <c r="L15" s="4" t="s">
        <v>37</v>
      </c>
      <c r="M15" s="4">
        <f>E15</f>
        <v>500</v>
      </c>
    </row>
    <row r="16" spans="1:13" x14ac:dyDescent="0.25">
      <c r="A16" s="5" t="s">
        <v>97</v>
      </c>
      <c r="B16" s="5" t="s">
        <v>133</v>
      </c>
      <c r="C16" s="5" t="s">
        <v>27</v>
      </c>
      <c r="D16" s="5" t="s">
        <v>134</v>
      </c>
      <c r="E16" s="4">
        <f>500+1600+500+1450</f>
        <v>4050</v>
      </c>
      <c r="F16" s="5"/>
      <c r="G16" s="5"/>
      <c r="H16" s="5"/>
      <c r="I16" s="4" t="s">
        <v>135</v>
      </c>
      <c r="J16" s="4" t="s">
        <v>97</v>
      </c>
      <c r="K16" s="4">
        <v>1500</v>
      </c>
      <c r="L16" s="4" t="s">
        <v>66</v>
      </c>
      <c r="M16" s="4">
        <f>E16-K16</f>
        <v>2550</v>
      </c>
    </row>
    <row r="17" spans="1:13" x14ac:dyDescent="0.25">
      <c r="A17" t="s">
        <v>120</v>
      </c>
      <c r="B17" t="s">
        <v>138</v>
      </c>
      <c r="C17" t="s">
        <v>27</v>
      </c>
      <c r="D17" t="s">
        <v>139</v>
      </c>
      <c r="E17" s="6">
        <v>500</v>
      </c>
      <c r="I17" s="6" t="s">
        <v>37</v>
      </c>
      <c r="J17" s="6" t="s">
        <v>37</v>
      </c>
      <c r="K17" s="6" t="s">
        <v>37</v>
      </c>
      <c r="L17" s="6" t="s">
        <v>37</v>
      </c>
      <c r="M17" s="6">
        <f>E17</f>
        <v>500</v>
      </c>
    </row>
    <row r="18" spans="1:13" x14ac:dyDescent="0.25">
      <c r="A18" s="5" t="s">
        <v>142</v>
      </c>
      <c r="B18" s="5" t="s">
        <v>143</v>
      </c>
      <c r="C18" s="5" t="s">
        <v>27</v>
      </c>
      <c r="D18" s="5" t="s">
        <v>33</v>
      </c>
      <c r="E18" s="4">
        <v>450</v>
      </c>
      <c r="F18" s="5"/>
      <c r="G18" s="5"/>
      <c r="H18" s="5"/>
      <c r="I18" s="4" t="s">
        <v>37</v>
      </c>
      <c r="J18" s="4" t="s">
        <v>37</v>
      </c>
      <c r="K18" s="4" t="s">
        <v>37</v>
      </c>
      <c r="L18" s="4" t="s">
        <v>37</v>
      </c>
      <c r="M18" s="4">
        <f>E18</f>
        <v>450</v>
      </c>
    </row>
    <row r="19" spans="1:13" x14ac:dyDescent="0.25">
      <c r="A19" s="5" t="s">
        <v>144</v>
      </c>
      <c r="B19" s="5" t="s">
        <v>146</v>
      </c>
      <c r="C19" s="5" t="s">
        <v>27</v>
      </c>
      <c r="D19" s="5" t="s">
        <v>33</v>
      </c>
      <c r="E19" s="4">
        <v>1350</v>
      </c>
      <c r="F19" s="5"/>
      <c r="G19" s="5"/>
      <c r="H19" s="5"/>
      <c r="I19" s="4" t="s">
        <v>147</v>
      </c>
      <c r="J19" s="4" t="s">
        <v>95</v>
      </c>
      <c r="K19" s="4">
        <v>300</v>
      </c>
      <c r="L19" s="4" t="s">
        <v>67</v>
      </c>
      <c r="M19" s="4">
        <f>E19-K19</f>
        <v>1050</v>
      </c>
    </row>
    <row r="20" spans="1:13" x14ac:dyDescent="0.25">
      <c r="E20" s="6"/>
      <c r="I20" s="6"/>
      <c r="J20" s="6"/>
      <c r="K20" s="6"/>
      <c r="L20" s="6"/>
      <c r="M20" s="6"/>
    </row>
    <row r="21" spans="1:13" x14ac:dyDescent="0.25">
      <c r="E21" s="6"/>
      <c r="I21" s="6"/>
      <c r="J21" s="6"/>
      <c r="K21" s="6"/>
      <c r="L21" s="6"/>
      <c r="M21" s="6"/>
    </row>
    <row r="22" spans="1:13" x14ac:dyDescent="0.25">
      <c r="E22" s="6"/>
      <c r="I22" s="6"/>
      <c r="J22" s="6"/>
      <c r="K22" s="6"/>
      <c r="L22" s="6"/>
      <c r="M22" s="6"/>
    </row>
    <row r="23" spans="1:13" x14ac:dyDescent="0.25">
      <c r="E23" s="6"/>
      <c r="I23" s="6"/>
      <c r="K23" s="6"/>
      <c r="M23" s="6"/>
    </row>
    <row r="24" spans="1:13" s="1" customFormat="1" x14ac:dyDescent="0.25">
      <c r="A24" s="1" t="s">
        <v>109</v>
      </c>
      <c r="E24" s="7"/>
      <c r="I24" s="7"/>
      <c r="K24" s="7"/>
      <c r="M24" s="7"/>
    </row>
    <row r="25" spans="1:13" x14ac:dyDescent="0.25">
      <c r="E25" s="6"/>
      <c r="I25" s="6"/>
      <c r="K25" s="6"/>
      <c r="M25" s="6"/>
    </row>
    <row r="26" spans="1:13" x14ac:dyDescent="0.25">
      <c r="A26" t="s">
        <v>107</v>
      </c>
      <c r="B26" t="s">
        <v>108</v>
      </c>
      <c r="C26" s="6">
        <v>900</v>
      </c>
      <c r="E26" s="6"/>
      <c r="I26" s="6"/>
      <c r="J26" s="6"/>
      <c r="K26" s="6"/>
      <c r="L26" s="6"/>
      <c r="M26" s="6"/>
    </row>
    <row r="27" spans="1:13" x14ac:dyDescent="0.25">
      <c r="A27" t="s">
        <v>107</v>
      </c>
      <c r="B27" t="s">
        <v>76</v>
      </c>
      <c r="C27" s="6">
        <v>500</v>
      </c>
      <c r="E27" s="6"/>
      <c r="I27" s="6"/>
      <c r="K27" s="6"/>
      <c r="M27" s="6"/>
    </row>
    <row r="28" spans="1:13" x14ac:dyDescent="0.25">
      <c r="A28" t="s">
        <v>107</v>
      </c>
      <c r="B28" t="s">
        <v>77</v>
      </c>
      <c r="C28" s="6">
        <v>500</v>
      </c>
      <c r="E28" s="6"/>
      <c r="I28" s="6"/>
      <c r="K28" s="6"/>
      <c r="M28" s="6"/>
    </row>
    <row r="29" spans="1:13" x14ac:dyDescent="0.25">
      <c r="A29" t="s">
        <v>112</v>
      </c>
      <c r="B29" t="s">
        <v>113</v>
      </c>
      <c r="C29" s="6">
        <v>500</v>
      </c>
      <c r="E29" s="6"/>
      <c r="I29" s="6"/>
      <c r="K29" s="6"/>
      <c r="M29" s="6"/>
    </row>
    <row r="30" spans="1:13" x14ac:dyDescent="0.25">
      <c r="A30" t="s">
        <v>120</v>
      </c>
      <c r="B30" t="s">
        <v>108</v>
      </c>
      <c r="C30" s="6">
        <v>900</v>
      </c>
      <c r="E30" s="6"/>
      <c r="I30" s="6"/>
      <c r="K30" s="6"/>
      <c r="M30" s="6"/>
    </row>
    <row r="31" spans="1:13" x14ac:dyDescent="0.25">
      <c r="A31" t="s">
        <v>120</v>
      </c>
      <c r="B31" t="s">
        <v>76</v>
      </c>
      <c r="C31" s="6">
        <v>500</v>
      </c>
      <c r="E31" s="6"/>
      <c r="I31" s="6"/>
      <c r="K31" s="6"/>
      <c r="M31" s="6"/>
    </row>
    <row r="32" spans="1:13" x14ac:dyDescent="0.25">
      <c r="A32" t="s">
        <v>121</v>
      </c>
      <c r="B32" t="s">
        <v>128</v>
      </c>
      <c r="C32" s="6">
        <v>3000</v>
      </c>
      <c r="E32" s="6"/>
      <c r="I32" s="6"/>
      <c r="K32" s="6"/>
      <c r="M32" s="6"/>
    </row>
    <row r="33" spans="1:13" x14ac:dyDescent="0.25">
      <c r="A33" t="s">
        <v>121</v>
      </c>
      <c r="B33" t="s">
        <v>129</v>
      </c>
      <c r="C33" s="6">
        <v>1500</v>
      </c>
      <c r="E33" s="6"/>
      <c r="I33" s="6"/>
      <c r="K33" s="6"/>
      <c r="M33" s="6"/>
    </row>
    <row r="34" spans="1:13" x14ac:dyDescent="0.25">
      <c r="A34" t="s">
        <v>140</v>
      </c>
      <c r="B34" t="s">
        <v>141</v>
      </c>
      <c r="C34" s="6">
        <v>500</v>
      </c>
      <c r="E34" s="6"/>
      <c r="I34" s="6"/>
      <c r="K34" s="6"/>
      <c r="M34" s="6"/>
    </row>
    <row r="35" spans="1:13" x14ac:dyDescent="0.25">
      <c r="A35" t="s">
        <v>142</v>
      </c>
      <c r="B35" t="s">
        <v>108</v>
      </c>
      <c r="C35" s="6">
        <v>900</v>
      </c>
      <c r="E35" s="6"/>
      <c r="I35" s="6"/>
      <c r="J35" s="6"/>
      <c r="K35" s="6"/>
      <c r="L35" s="6"/>
      <c r="M35" s="6"/>
    </row>
    <row r="36" spans="1:13" x14ac:dyDescent="0.25">
      <c r="A36" t="s">
        <v>142</v>
      </c>
      <c r="B36" t="s">
        <v>76</v>
      </c>
      <c r="C36" s="6">
        <v>500</v>
      </c>
      <c r="E36" s="6"/>
      <c r="I36" s="6"/>
      <c r="J36" s="6"/>
      <c r="K36" s="6"/>
      <c r="L36" s="6"/>
      <c r="M36" s="6"/>
    </row>
    <row r="37" spans="1:13" x14ac:dyDescent="0.25">
      <c r="A37" t="s">
        <v>97</v>
      </c>
      <c r="B37" t="s">
        <v>72</v>
      </c>
      <c r="C37" s="6">
        <v>550</v>
      </c>
      <c r="E37" s="6"/>
      <c r="I37" s="6"/>
      <c r="J37" s="6"/>
      <c r="K37" s="6"/>
      <c r="L37" s="6"/>
      <c r="M37" s="6"/>
    </row>
    <row r="38" spans="1:13" x14ac:dyDescent="0.25">
      <c r="A38" t="s">
        <v>144</v>
      </c>
      <c r="B38" t="s">
        <v>108</v>
      </c>
      <c r="C38" s="6">
        <v>900</v>
      </c>
      <c r="E38" s="6"/>
      <c r="I38" s="6"/>
      <c r="K38" s="6"/>
      <c r="M38" s="6"/>
    </row>
    <row r="39" spans="1:13" x14ac:dyDescent="0.25">
      <c r="A39" t="s">
        <v>144</v>
      </c>
      <c r="B39" t="s">
        <v>76</v>
      </c>
      <c r="C39" s="6">
        <v>500</v>
      </c>
      <c r="E39" s="6"/>
      <c r="I39" s="6"/>
      <c r="J39" s="6"/>
      <c r="K39" s="6"/>
      <c r="L39" s="6"/>
      <c r="M39" s="6"/>
    </row>
    <row r="40" spans="1:13" x14ac:dyDescent="0.25">
      <c r="A40" t="s">
        <v>145</v>
      </c>
      <c r="B40" t="s">
        <v>77</v>
      </c>
      <c r="C40" s="6">
        <v>300</v>
      </c>
      <c r="E40" s="6"/>
      <c r="I40" s="6"/>
      <c r="J40" s="6"/>
      <c r="K40" s="6"/>
      <c r="L40" s="6"/>
      <c r="M40" s="6"/>
    </row>
    <row r="41" spans="1:13" x14ac:dyDescent="0.25">
      <c r="A41" t="s">
        <v>148</v>
      </c>
      <c r="B41" t="s">
        <v>149</v>
      </c>
      <c r="C41" s="6">
        <v>3000</v>
      </c>
      <c r="E41" s="6"/>
      <c r="I41" s="6"/>
      <c r="J41" s="6"/>
      <c r="K41" s="6"/>
      <c r="L41" s="6"/>
      <c r="M41" s="6"/>
    </row>
    <row r="42" spans="1:13" x14ac:dyDescent="0.25">
      <c r="E42" s="6"/>
      <c r="I42" s="6"/>
      <c r="J42" s="6"/>
      <c r="K42" s="6"/>
      <c r="L42" s="6"/>
      <c r="M42" s="6"/>
    </row>
    <row r="43" spans="1:13" x14ac:dyDescent="0.25">
      <c r="A43" s="2"/>
      <c r="B43" s="2"/>
      <c r="C43" s="2"/>
      <c r="D43" s="2"/>
      <c r="F43" s="2"/>
      <c r="G43" s="2"/>
      <c r="H43" s="2"/>
      <c r="J43" s="2"/>
      <c r="L43" s="2"/>
    </row>
    <row r="44" spans="1:13" x14ac:dyDescent="0.25">
      <c r="A44" s="2"/>
      <c r="B44" s="2"/>
      <c r="C44" s="2"/>
      <c r="D44" s="2"/>
      <c r="F44" s="2"/>
      <c r="G44" s="2"/>
      <c r="H44" s="2"/>
      <c r="J44" s="2"/>
      <c r="L44" s="2"/>
    </row>
    <row r="45" spans="1:13" x14ac:dyDescent="0.25">
      <c r="A45" s="2"/>
      <c r="B45" s="2"/>
      <c r="C45" s="2"/>
      <c r="D45" s="2"/>
      <c r="F45" s="2"/>
      <c r="G45" s="2"/>
      <c r="H45" s="2"/>
      <c r="J45" s="2"/>
      <c r="L45" s="2"/>
    </row>
    <row r="46" spans="1:13" x14ac:dyDescent="0.25">
      <c r="A46" s="2"/>
      <c r="B46" s="2"/>
      <c r="C46" s="2"/>
      <c r="D46" s="2"/>
      <c r="F46" s="2"/>
      <c r="G46" s="2"/>
      <c r="H46" s="2"/>
      <c r="J46" s="2"/>
      <c r="L46" s="2"/>
    </row>
    <row r="47" spans="1:13" x14ac:dyDescent="0.25">
      <c r="A47" s="2"/>
      <c r="B47" s="2"/>
      <c r="C47" s="2"/>
      <c r="D47" s="2"/>
      <c r="F47" s="2"/>
      <c r="G47" s="2"/>
      <c r="H47" s="2"/>
      <c r="J47" s="2"/>
      <c r="L47" s="2"/>
    </row>
    <row r="48" spans="1:13" x14ac:dyDescent="0.25">
      <c r="A48" s="2"/>
      <c r="B48" s="2"/>
      <c r="C48" s="2"/>
      <c r="D48" s="2"/>
      <c r="F48" s="2"/>
      <c r="G48" s="2"/>
      <c r="H48" s="2"/>
      <c r="J48" s="2"/>
      <c r="L48" s="2"/>
    </row>
    <row r="49" spans="1:13" x14ac:dyDescent="0.25">
      <c r="A49" s="2"/>
      <c r="B49" s="2"/>
      <c r="C49" s="2"/>
      <c r="D49" s="2"/>
      <c r="F49" s="2"/>
      <c r="G49" s="2"/>
      <c r="H49" s="2"/>
      <c r="I49" s="2">
        <v>22750</v>
      </c>
      <c r="J49" s="2"/>
      <c r="L49" s="2"/>
    </row>
    <row r="50" spans="1:13" x14ac:dyDescent="0.25">
      <c r="A50" s="2"/>
      <c r="B50" s="2"/>
      <c r="C50" s="2"/>
      <c r="D50" s="2"/>
      <c r="F50" s="2"/>
      <c r="G50" s="2"/>
      <c r="H50" s="2"/>
      <c r="K50" s="6"/>
      <c r="M50" s="6"/>
    </row>
    <row r="51" spans="1:13" x14ac:dyDescent="0.25">
      <c r="A51" s="4" t="s">
        <v>95</v>
      </c>
      <c r="B51" s="4" t="s">
        <v>96</v>
      </c>
      <c r="C51" s="4">
        <v>6000</v>
      </c>
      <c r="D51" s="2"/>
      <c r="F51" s="2"/>
      <c r="G51" s="2"/>
      <c r="H51" s="2"/>
      <c r="I51" s="2">
        <v>16500</v>
      </c>
      <c r="K51" s="6"/>
      <c r="M51" s="6"/>
    </row>
    <row r="52" spans="1:13" x14ac:dyDescent="0.25">
      <c r="A52" s="4" t="s">
        <v>95</v>
      </c>
      <c r="B52" s="4" t="s">
        <v>21</v>
      </c>
      <c r="C52" s="4">
        <v>3500</v>
      </c>
      <c r="D52" s="2"/>
      <c r="F52" s="2"/>
      <c r="G52" s="2"/>
      <c r="H52" s="2"/>
      <c r="I52" s="2">
        <v>1700</v>
      </c>
      <c r="K52" s="6"/>
      <c r="M52" s="6"/>
    </row>
    <row r="53" spans="1:13" x14ac:dyDescent="0.25">
      <c r="A53" s="4" t="s">
        <v>97</v>
      </c>
      <c r="B53" s="4" t="s">
        <v>20</v>
      </c>
      <c r="C53" s="4">
        <v>2000</v>
      </c>
      <c r="D53" s="2"/>
      <c r="F53" s="2"/>
      <c r="G53" s="2"/>
      <c r="H53" s="2"/>
      <c r="K53" s="6"/>
      <c r="M53" s="6"/>
    </row>
    <row r="54" spans="1:13" x14ac:dyDescent="0.25">
      <c r="A54" s="4" t="s">
        <v>97</v>
      </c>
      <c r="B54" s="4" t="s">
        <v>98</v>
      </c>
      <c r="C54" s="4">
        <v>550</v>
      </c>
      <c r="D54" s="2"/>
      <c r="F54" s="2"/>
      <c r="G54" s="2"/>
      <c r="H54" s="2"/>
      <c r="I54" s="2">
        <f>I49-I51-I52</f>
        <v>4550</v>
      </c>
      <c r="K54" s="6"/>
      <c r="M54" s="6"/>
    </row>
    <row r="55" spans="1:13" x14ac:dyDescent="0.25">
      <c r="A55" s="2"/>
      <c r="B55" s="2"/>
      <c r="C55" s="2"/>
      <c r="D55" s="2"/>
      <c r="F55" s="2"/>
      <c r="G55" s="2"/>
      <c r="H55" s="2"/>
      <c r="K55" s="6"/>
      <c r="M55" s="6"/>
    </row>
    <row r="56" spans="1:13" x14ac:dyDescent="0.25">
      <c r="A56" s="2"/>
      <c r="B56" s="2"/>
      <c r="C56" s="2"/>
      <c r="D56" s="2"/>
      <c r="F56" s="2"/>
      <c r="G56" s="2"/>
      <c r="H56" s="2"/>
      <c r="K56" s="6"/>
      <c r="M56" s="6"/>
    </row>
    <row r="57" spans="1:13" x14ac:dyDescent="0.25">
      <c r="A57" s="2"/>
      <c r="B57" s="2"/>
      <c r="C57" s="2"/>
      <c r="D57" s="2"/>
      <c r="F57" s="2"/>
      <c r="G57" s="2"/>
      <c r="H57" s="2"/>
      <c r="K57" s="6"/>
      <c r="M57" s="6"/>
    </row>
    <row r="58" spans="1:13" x14ac:dyDescent="0.25">
      <c r="A58" s="2"/>
      <c r="B58" s="2"/>
      <c r="C58" s="2"/>
      <c r="D58" s="2"/>
      <c r="F58" s="2"/>
      <c r="G58" s="2"/>
      <c r="H58" s="2"/>
      <c r="K58" s="6"/>
      <c r="M58" s="6"/>
    </row>
    <row r="59" spans="1:13" x14ac:dyDescent="0.25">
      <c r="A59" s="2"/>
      <c r="B59" s="2"/>
      <c r="C59" s="2"/>
      <c r="D59" s="2"/>
      <c r="F59" s="2"/>
      <c r="G59" s="2"/>
      <c r="H59" s="2"/>
      <c r="K59" s="6"/>
      <c r="M59" s="6"/>
    </row>
    <row r="60" spans="1:13" x14ac:dyDescent="0.25">
      <c r="A60" s="2"/>
      <c r="B60" s="2"/>
      <c r="C60" s="2"/>
      <c r="D60" s="2"/>
      <c r="F60" s="2"/>
      <c r="G60" s="2"/>
      <c r="H60" s="2"/>
      <c r="K60" s="6"/>
      <c r="M60" s="6"/>
    </row>
    <row r="61" spans="1:13" x14ac:dyDescent="0.25">
      <c r="A61" s="2"/>
      <c r="B61" s="2"/>
      <c r="C61" s="2"/>
      <c r="D61" s="2"/>
      <c r="F61" s="2"/>
      <c r="G61" s="2"/>
      <c r="H61" s="2"/>
      <c r="K61" s="6"/>
      <c r="M61" s="6"/>
    </row>
    <row r="62" spans="1:13" x14ac:dyDescent="0.25">
      <c r="A62" s="2"/>
      <c r="B62" s="2"/>
      <c r="C62" s="2"/>
      <c r="D62" s="2"/>
      <c r="F62" s="2"/>
      <c r="G62" s="2"/>
      <c r="H62" s="2"/>
      <c r="K62" s="6"/>
      <c r="M62" s="6"/>
    </row>
    <row r="63" spans="1:13" x14ac:dyDescent="0.25">
      <c r="A63" s="2"/>
      <c r="B63" s="2"/>
      <c r="C63" s="2"/>
      <c r="D63" s="2"/>
      <c r="F63" s="2"/>
      <c r="G63" s="2"/>
      <c r="H63" s="2"/>
      <c r="K63" s="6"/>
      <c r="M63" s="6"/>
    </row>
    <row r="64" spans="1:13" s="1" customFormat="1" x14ac:dyDescent="0.25">
      <c r="A64" s="1" t="s">
        <v>101</v>
      </c>
      <c r="C64" s="7"/>
      <c r="E64" s="7"/>
      <c r="I64" s="7"/>
      <c r="K64" s="7"/>
      <c r="M64" s="7"/>
    </row>
    <row r="65" spans="1:13" x14ac:dyDescent="0.25">
      <c r="C65" s="6"/>
      <c r="E65" s="6"/>
      <c r="I65" s="6"/>
      <c r="K65" s="6"/>
      <c r="M65" s="6"/>
    </row>
    <row r="66" spans="1:13" x14ac:dyDescent="0.25">
      <c r="A66" s="8"/>
      <c r="C66" s="6"/>
      <c r="E66" s="6"/>
      <c r="I66" s="6"/>
      <c r="K66" s="6"/>
      <c r="M66" s="6"/>
    </row>
    <row r="67" spans="1:13" x14ac:dyDescent="0.25">
      <c r="A67" t="s">
        <v>99</v>
      </c>
      <c r="B67" t="s">
        <v>102</v>
      </c>
      <c r="C67" s="6"/>
      <c r="E67" s="6">
        <v>200</v>
      </c>
      <c r="I67" s="6"/>
      <c r="K67" s="6"/>
      <c r="M67" s="6"/>
    </row>
    <row r="68" spans="1:13" x14ac:dyDescent="0.25">
      <c r="C68" s="6"/>
      <c r="E68" s="6"/>
      <c r="I68" s="6"/>
      <c r="K68" s="6"/>
      <c r="M68" s="6"/>
    </row>
    <row r="69" spans="1:13" x14ac:dyDescent="0.25">
      <c r="C69" s="6"/>
      <c r="E69" s="6"/>
      <c r="I69" s="6"/>
      <c r="K69" s="6"/>
      <c r="M69" s="6"/>
    </row>
    <row r="70" spans="1:13" x14ac:dyDescent="0.25">
      <c r="C70" s="6"/>
      <c r="E70" s="6"/>
      <c r="I70" s="6"/>
      <c r="K70" s="6"/>
      <c r="M70" s="6"/>
    </row>
    <row r="71" spans="1:13" x14ac:dyDescent="0.25">
      <c r="C71" s="6"/>
      <c r="E71" s="6"/>
      <c r="I71" s="6"/>
      <c r="K71" s="6"/>
      <c r="M71" s="6"/>
    </row>
    <row r="72" spans="1:13" x14ac:dyDescent="0.25">
      <c r="C72" s="6"/>
      <c r="E72" s="6"/>
      <c r="I72" s="6"/>
      <c r="K72" s="6"/>
      <c r="M72" s="6"/>
    </row>
    <row r="73" spans="1:13" x14ac:dyDescent="0.25">
      <c r="C73" s="6"/>
      <c r="E73" s="6"/>
      <c r="I73" s="6"/>
      <c r="K73" s="6"/>
      <c r="M73" s="6"/>
    </row>
    <row r="74" spans="1:13" x14ac:dyDescent="0.25">
      <c r="C74" s="6"/>
      <c r="E74" s="6"/>
      <c r="I74" s="6"/>
      <c r="K74" s="6"/>
      <c r="M74" s="6"/>
    </row>
    <row r="75" spans="1:13" x14ac:dyDescent="0.25">
      <c r="C75" s="6"/>
      <c r="E75" s="6"/>
      <c r="I75" s="6"/>
      <c r="K75" s="6"/>
      <c r="M75" s="6"/>
    </row>
    <row r="76" spans="1:13" x14ac:dyDescent="0.25">
      <c r="C76" s="6"/>
      <c r="E76" s="6"/>
      <c r="I76" s="6"/>
      <c r="K76" s="6"/>
      <c r="M76" s="6"/>
    </row>
    <row r="77" spans="1:13" x14ac:dyDescent="0.25">
      <c r="C77" s="6"/>
      <c r="E77" s="6"/>
      <c r="I77" s="6"/>
      <c r="K77" s="6"/>
      <c r="M77" s="6"/>
    </row>
    <row r="78" spans="1:13" x14ac:dyDescent="0.25">
      <c r="C78" s="6"/>
      <c r="E78" s="6"/>
      <c r="I78" s="6"/>
      <c r="K78" s="6"/>
      <c r="M78" s="6"/>
    </row>
    <row r="79" spans="1:13" x14ac:dyDescent="0.25">
      <c r="C79" s="6"/>
      <c r="E79" s="6"/>
      <c r="I79" s="6"/>
      <c r="K79" s="6"/>
      <c r="M79" s="6"/>
    </row>
    <row r="80" spans="1:13" x14ac:dyDescent="0.25">
      <c r="C80" s="6"/>
      <c r="E80" s="6"/>
      <c r="I80" s="6"/>
      <c r="K80" s="6"/>
      <c r="M80" s="6"/>
    </row>
    <row r="81" spans="3:13" x14ac:dyDescent="0.25">
      <c r="C81" s="6"/>
      <c r="E81" s="6"/>
      <c r="I81" s="6"/>
      <c r="K81" s="6"/>
      <c r="M81" s="6"/>
    </row>
    <row r="82" spans="3:13" x14ac:dyDescent="0.25">
      <c r="C82" s="6"/>
      <c r="E82" s="6"/>
      <c r="I82" s="6"/>
      <c r="K82" s="6"/>
      <c r="M82" s="6"/>
    </row>
    <row r="83" spans="3:13" x14ac:dyDescent="0.25">
      <c r="E83" s="6"/>
      <c r="I83" s="6"/>
      <c r="K83" s="6"/>
      <c r="M83" s="6"/>
    </row>
    <row r="84" spans="3:13" x14ac:dyDescent="0.25">
      <c r="E84" s="6"/>
      <c r="I84" s="6"/>
      <c r="K84" s="6"/>
      <c r="M84" s="6"/>
    </row>
    <row r="85" spans="3:13" x14ac:dyDescent="0.25">
      <c r="E85" s="6"/>
      <c r="I85" s="6"/>
      <c r="K85" s="6"/>
      <c r="M85" s="6"/>
    </row>
    <row r="86" spans="3:13" x14ac:dyDescent="0.25">
      <c r="E86" s="6"/>
      <c r="I86" s="6"/>
      <c r="K86" s="6"/>
      <c r="M86" s="6"/>
    </row>
    <row r="87" spans="3:13" x14ac:dyDescent="0.25">
      <c r="E87" s="6"/>
      <c r="I87" s="6"/>
      <c r="K87" s="6"/>
      <c r="M87" s="6"/>
    </row>
    <row r="88" spans="3:13" x14ac:dyDescent="0.25">
      <c r="E88" s="6"/>
      <c r="I88" s="6"/>
      <c r="K88" s="6"/>
      <c r="M88" s="6"/>
    </row>
    <row r="89" spans="3:13" x14ac:dyDescent="0.25">
      <c r="E89" s="6"/>
      <c r="I89" s="6"/>
      <c r="K89" s="6"/>
      <c r="M89" s="6"/>
    </row>
    <row r="90" spans="3:13" x14ac:dyDescent="0.25">
      <c r="E90" s="6"/>
      <c r="I90" s="6"/>
      <c r="K90" s="6"/>
      <c r="M90" s="6"/>
    </row>
    <row r="91" spans="3:13" x14ac:dyDescent="0.25">
      <c r="E91" s="6"/>
      <c r="I91" s="6"/>
      <c r="K91" s="6"/>
      <c r="M91" s="6"/>
    </row>
    <row r="92" spans="3:13" x14ac:dyDescent="0.25">
      <c r="E92" s="6"/>
      <c r="I92" s="6"/>
      <c r="K92" s="6"/>
      <c r="M92" s="6"/>
    </row>
    <row r="93" spans="3:13" x14ac:dyDescent="0.25">
      <c r="E93" s="6"/>
      <c r="I93" s="6"/>
      <c r="K93" s="6"/>
      <c r="M93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M82"/>
  <sheetViews>
    <sheetView workbookViewId="0">
      <pane ySplit="3" topLeftCell="A4" activePane="bottomLeft" state="frozen"/>
      <selection activeCell="B1" sqref="B1"/>
      <selection pane="bottomLeft" activeCell="A13" sqref="A13"/>
    </sheetView>
  </sheetViews>
  <sheetFormatPr baseColWidth="10" defaultColWidth="10.7109375" defaultRowHeight="15" x14ac:dyDescent="0.25"/>
  <cols>
    <col min="1" max="1" width="22.7109375" style="9" customWidth="1"/>
    <col min="2" max="2" width="51" style="9" customWidth="1"/>
    <col min="3" max="3" width="39.85546875" style="9" customWidth="1"/>
    <col min="4" max="4" width="43.28515625" style="9" customWidth="1"/>
    <col min="5" max="5" width="10.7109375" style="10"/>
    <col min="6" max="8" width="10.7109375" style="9"/>
    <col min="9" max="9" width="42.42578125" style="10" customWidth="1"/>
    <col min="10" max="10" width="31.85546875" style="9" customWidth="1"/>
    <col min="11" max="11" width="18" style="10" customWidth="1"/>
    <col min="12" max="12" width="18" style="9" customWidth="1"/>
    <col min="13" max="13" width="19.28515625" style="10" customWidth="1"/>
    <col min="14" max="16384" width="10.7109375" style="9"/>
  </cols>
  <sheetData>
    <row r="1" spans="1:13" s="11" customFormat="1" x14ac:dyDescent="0.25">
      <c r="A1" s="11" t="s">
        <v>0</v>
      </c>
      <c r="E1" s="12"/>
      <c r="I1" s="12"/>
      <c r="K1" s="12"/>
      <c r="M1" s="12"/>
    </row>
    <row r="3" spans="1:13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I3" s="12" t="s">
        <v>11</v>
      </c>
      <c r="J3" s="11" t="s">
        <v>8</v>
      </c>
      <c r="K3" s="12" t="s">
        <v>9</v>
      </c>
      <c r="L3" s="11" t="s">
        <v>64</v>
      </c>
      <c r="M3" s="12" t="s">
        <v>13</v>
      </c>
    </row>
    <row r="4" spans="1:13" x14ac:dyDescent="0.25">
      <c r="A4" s="5" t="s">
        <v>150</v>
      </c>
      <c r="B4" s="5" t="s">
        <v>151</v>
      </c>
      <c r="C4" s="5" t="s">
        <v>7</v>
      </c>
      <c r="D4" s="5" t="s">
        <v>33</v>
      </c>
      <c r="E4" s="4">
        <v>2200</v>
      </c>
      <c r="F4" s="5"/>
      <c r="G4" s="5"/>
      <c r="H4" s="5"/>
      <c r="I4" s="4" t="s">
        <v>152</v>
      </c>
      <c r="J4" s="4" t="s">
        <v>153</v>
      </c>
      <c r="K4" s="4">
        <v>1350</v>
      </c>
      <c r="L4" s="4" t="s">
        <v>65</v>
      </c>
      <c r="M4" s="4">
        <f>E4-K4</f>
        <v>850</v>
      </c>
    </row>
    <row r="5" spans="1:13" x14ac:dyDescent="0.25">
      <c r="A5" s="5" t="s">
        <v>150</v>
      </c>
      <c r="B5" s="5" t="s">
        <v>154</v>
      </c>
      <c r="C5" s="5" t="s">
        <v>27</v>
      </c>
      <c r="D5" s="5" t="s">
        <v>33</v>
      </c>
      <c r="E5" s="4">
        <v>550</v>
      </c>
      <c r="F5" s="5"/>
      <c r="G5" s="5"/>
      <c r="H5" s="5"/>
      <c r="I5" s="4" t="s">
        <v>37</v>
      </c>
      <c r="J5" s="4" t="s">
        <v>37</v>
      </c>
      <c r="K5" s="4" t="s">
        <v>37</v>
      </c>
      <c r="L5" s="4" t="s">
        <v>37</v>
      </c>
      <c r="M5" s="4">
        <f>E5</f>
        <v>550</v>
      </c>
    </row>
    <row r="6" spans="1:13" x14ac:dyDescent="0.25">
      <c r="A6" s="5" t="s">
        <v>158</v>
      </c>
      <c r="B6" s="5" t="s">
        <v>160</v>
      </c>
      <c r="C6" s="5" t="s">
        <v>27</v>
      </c>
      <c r="D6" s="5" t="s">
        <v>33</v>
      </c>
      <c r="E6" s="4">
        <v>1450</v>
      </c>
      <c r="F6" s="5"/>
      <c r="G6" s="5"/>
      <c r="H6" s="5"/>
      <c r="I6" s="4" t="s">
        <v>161</v>
      </c>
      <c r="J6" s="4" t="s">
        <v>37</v>
      </c>
      <c r="K6" s="4" t="s">
        <v>37</v>
      </c>
      <c r="L6" s="4" t="s">
        <v>37</v>
      </c>
      <c r="M6" s="4">
        <f>E6</f>
        <v>1450</v>
      </c>
    </row>
    <row r="7" spans="1:13" x14ac:dyDescent="0.25">
      <c r="A7" s="9" t="s">
        <v>163</v>
      </c>
      <c r="B7" s="9" t="s">
        <v>164</v>
      </c>
      <c r="C7" s="9" t="s">
        <v>7</v>
      </c>
      <c r="D7" s="9" t="s">
        <v>33</v>
      </c>
      <c r="E7" s="10">
        <v>1250</v>
      </c>
      <c r="I7" s="10" t="s">
        <v>165</v>
      </c>
      <c r="J7" s="10" t="s">
        <v>166</v>
      </c>
      <c r="K7" s="10">
        <v>580</v>
      </c>
      <c r="L7" s="10" t="s">
        <v>65</v>
      </c>
      <c r="M7" s="10">
        <f>E7-K7</f>
        <v>670</v>
      </c>
    </row>
    <row r="8" spans="1:13" x14ac:dyDescent="0.25">
      <c r="A8" s="9" t="s">
        <v>163</v>
      </c>
      <c r="B8" s="9" t="s">
        <v>132</v>
      </c>
      <c r="C8" s="9" t="s">
        <v>27</v>
      </c>
      <c r="D8" s="9" t="s">
        <v>36</v>
      </c>
      <c r="E8" s="10">
        <v>300</v>
      </c>
      <c r="I8" s="10" t="s">
        <v>37</v>
      </c>
      <c r="J8" s="10" t="s">
        <v>37</v>
      </c>
      <c r="K8" s="10" t="s">
        <v>37</v>
      </c>
      <c r="L8" s="10" t="s">
        <v>37</v>
      </c>
      <c r="M8" s="10">
        <f>E8</f>
        <v>300</v>
      </c>
    </row>
    <row r="9" spans="1:13" x14ac:dyDescent="0.25">
      <c r="A9" s="5" t="s">
        <v>163</v>
      </c>
      <c r="B9" s="5" t="s">
        <v>167</v>
      </c>
      <c r="C9" s="5" t="s">
        <v>27</v>
      </c>
      <c r="D9" s="5" t="s">
        <v>168</v>
      </c>
      <c r="E9" s="4">
        <v>27500</v>
      </c>
      <c r="F9" s="5"/>
      <c r="G9" s="5"/>
      <c r="H9" s="5"/>
      <c r="I9" s="4" t="s">
        <v>169</v>
      </c>
      <c r="J9" s="4" t="s">
        <v>170</v>
      </c>
      <c r="K9" s="4">
        <v>24000</v>
      </c>
      <c r="L9" s="4" t="s">
        <v>171</v>
      </c>
      <c r="M9" s="4">
        <f>E9-K9</f>
        <v>3500</v>
      </c>
    </row>
    <row r="10" spans="1:13" x14ac:dyDescent="0.25">
      <c r="A10" s="9" t="s">
        <v>163</v>
      </c>
      <c r="B10" s="9" t="s">
        <v>132</v>
      </c>
      <c r="C10" s="9" t="s">
        <v>27</v>
      </c>
      <c r="D10" s="9" t="s">
        <v>168</v>
      </c>
      <c r="E10" s="10">
        <v>850</v>
      </c>
      <c r="I10" s="10" t="s">
        <v>37</v>
      </c>
      <c r="J10" s="10" t="s">
        <v>37</v>
      </c>
      <c r="K10" s="10" t="s">
        <v>37</v>
      </c>
      <c r="L10" s="10" t="s">
        <v>37</v>
      </c>
      <c r="M10" s="10">
        <f>E10</f>
        <v>850</v>
      </c>
    </row>
    <row r="11" spans="1:13" x14ac:dyDescent="0.25">
      <c r="A11" s="5" t="s">
        <v>157</v>
      </c>
      <c r="B11" s="5" t="s">
        <v>132</v>
      </c>
      <c r="C11" s="5" t="s">
        <v>27</v>
      </c>
      <c r="D11" s="5" t="s">
        <v>172</v>
      </c>
      <c r="E11" s="4">
        <v>850</v>
      </c>
      <c r="F11" s="5"/>
      <c r="G11" s="5"/>
      <c r="H11" s="5"/>
      <c r="I11" s="4" t="s">
        <v>37</v>
      </c>
      <c r="J11" s="4" t="s">
        <v>37</v>
      </c>
      <c r="K11" s="4" t="s">
        <v>37</v>
      </c>
      <c r="L11" s="4" t="s">
        <v>37</v>
      </c>
      <c r="M11" s="4">
        <f>E11</f>
        <v>850</v>
      </c>
    </row>
    <row r="12" spans="1:13" x14ac:dyDescent="0.25">
      <c r="A12" s="5" t="s">
        <v>157</v>
      </c>
      <c r="B12" s="5" t="s">
        <v>174</v>
      </c>
      <c r="C12" s="5" t="s">
        <v>27</v>
      </c>
      <c r="D12" s="5" t="s">
        <v>33</v>
      </c>
      <c r="E12" s="4">
        <v>1850</v>
      </c>
      <c r="F12" s="5"/>
      <c r="G12" s="5"/>
      <c r="H12" s="5"/>
      <c r="I12" s="4" t="s">
        <v>131</v>
      </c>
      <c r="J12" s="4" t="s">
        <v>163</v>
      </c>
      <c r="K12" s="4">
        <v>500</v>
      </c>
      <c r="L12" s="4" t="s">
        <v>175</v>
      </c>
      <c r="M12" s="4">
        <f>E12-K12</f>
        <v>1350</v>
      </c>
    </row>
    <row r="13" spans="1:13" x14ac:dyDescent="0.25">
      <c r="J13" s="10"/>
      <c r="L13" s="10"/>
    </row>
    <row r="14" spans="1:13" x14ac:dyDescent="0.25">
      <c r="J14" s="10"/>
      <c r="L14" s="10"/>
    </row>
    <row r="15" spans="1:13" x14ac:dyDescent="0.25">
      <c r="J15" s="10"/>
      <c r="L15" s="10"/>
    </row>
    <row r="16" spans="1:13" x14ac:dyDescent="0.25">
      <c r="J16" s="10"/>
      <c r="L16" s="10"/>
    </row>
    <row r="17" spans="1:13" x14ac:dyDescent="0.25">
      <c r="J17" s="10"/>
      <c r="L17" s="10"/>
    </row>
    <row r="18" spans="1:13" x14ac:dyDescent="0.25">
      <c r="J18" s="10"/>
      <c r="L18" s="10"/>
    </row>
    <row r="19" spans="1:13" x14ac:dyDescent="0.25">
      <c r="J19" s="10"/>
      <c r="L19" s="10"/>
    </row>
    <row r="20" spans="1:13" x14ac:dyDescent="0.25">
      <c r="J20" s="10"/>
      <c r="L20" s="10"/>
    </row>
    <row r="21" spans="1:13" x14ac:dyDescent="0.25">
      <c r="J21" s="10"/>
      <c r="L21" s="10"/>
    </row>
    <row r="22" spans="1:13" x14ac:dyDescent="0.25">
      <c r="J22" s="10"/>
      <c r="L22" s="10"/>
    </row>
    <row r="24" spans="1:13" s="11" customFormat="1" x14ac:dyDescent="0.25">
      <c r="A24" s="11" t="s">
        <v>156</v>
      </c>
      <c r="E24" s="12"/>
      <c r="I24" s="12"/>
      <c r="K24" s="12"/>
      <c r="M24" s="12"/>
    </row>
    <row r="26" spans="1:13" x14ac:dyDescent="0.25">
      <c r="A26" s="9" t="s">
        <v>155</v>
      </c>
      <c r="B26" s="9" t="s">
        <v>108</v>
      </c>
      <c r="C26" s="10">
        <v>900</v>
      </c>
      <c r="J26" s="10"/>
      <c r="L26" s="10"/>
    </row>
    <row r="27" spans="1:13" x14ac:dyDescent="0.25">
      <c r="A27" s="9" t="s">
        <v>107</v>
      </c>
      <c r="B27" s="9" t="s">
        <v>76</v>
      </c>
      <c r="C27" s="10">
        <v>500</v>
      </c>
    </row>
    <row r="28" spans="1:13" x14ac:dyDescent="0.25">
      <c r="A28" s="9" t="s">
        <v>159</v>
      </c>
      <c r="B28" s="9" t="s">
        <v>108</v>
      </c>
      <c r="C28" s="10">
        <v>900</v>
      </c>
    </row>
    <row r="29" spans="1:13" x14ac:dyDescent="0.25">
      <c r="A29" s="9" t="s">
        <v>159</v>
      </c>
      <c r="B29" s="9" t="s">
        <v>76</v>
      </c>
      <c r="C29" s="10">
        <v>500</v>
      </c>
    </row>
    <row r="30" spans="1:13" x14ac:dyDescent="0.25">
      <c r="A30" s="9" t="s">
        <v>162</v>
      </c>
      <c r="B30" s="9" t="s">
        <v>108</v>
      </c>
      <c r="C30" s="10">
        <v>900</v>
      </c>
    </row>
    <row r="31" spans="1:13" x14ac:dyDescent="0.25">
      <c r="A31" s="9" t="s">
        <v>162</v>
      </c>
      <c r="B31" s="9" t="s">
        <v>76</v>
      </c>
      <c r="C31" s="10">
        <v>500</v>
      </c>
    </row>
    <row r="32" spans="1:13" x14ac:dyDescent="0.25">
      <c r="A32" s="9" t="s">
        <v>157</v>
      </c>
      <c r="B32" s="9" t="s">
        <v>173</v>
      </c>
      <c r="C32" s="10">
        <v>3500</v>
      </c>
    </row>
    <row r="33" spans="1:12" x14ac:dyDescent="0.25">
      <c r="C33" s="10"/>
    </row>
    <row r="34" spans="1:12" x14ac:dyDescent="0.25">
      <c r="C34" s="10"/>
    </row>
    <row r="35" spans="1:12" x14ac:dyDescent="0.25">
      <c r="C35" s="10"/>
      <c r="J35" s="10"/>
      <c r="L35" s="10"/>
    </row>
    <row r="36" spans="1:12" x14ac:dyDescent="0.25">
      <c r="C36" s="10"/>
      <c r="J36" s="10"/>
      <c r="L36" s="10"/>
    </row>
    <row r="37" spans="1:12" x14ac:dyDescent="0.25">
      <c r="C37" s="10"/>
      <c r="J37" s="10"/>
      <c r="L37" s="10"/>
    </row>
    <row r="38" spans="1:12" x14ac:dyDescent="0.25">
      <c r="C38" s="10"/>
    </row>
    <row r="39" spans="1:12" x14ac:dyDescent="0.25">
      <c r="C39" s="10"/>
      <c r="J39" s="10"/>
      <c r="L39" s="10"/>
    </row>
    <row r="40" spans="1:12" x14ac:dyDescent="0.25">
      <c r="C40" s="10"/>
      <c r="J40" s="10"/>
      <c r="L40" s="10"/>
    </row>
    <row r="41" spans="1:12" x14ac:dyDescent="0.25">
      <c r="C41" s="10"/>
      <c r="J41" s="10"/>
      <c r="L41" s="10"/>
    </row>
    <row r="42" spans="1:12" x14ac:dyDescent="0.25">
      <c r="J42" s="10"/>
      <c r="L42" s="10"/>
    </row>
    <row r="43" spans="1:12" x14ac:dyDescent="0.25">
      <c r="A43" s="10"/>
      <c r="B43" s="10"/>
      <c r="C43" s="10"/>
      <c r="D43" s="10"/>
      <c r="F43" s="10"/>
      <c r="G43" s="10"/>
      <c r="H43" s="10"/>
      <c r="J43" s="10"/>
      <c r="L43" s="10"/>
    </row>
    <row r="44" spans="1:12" x14ac:dyDescent="0.25">
      <c r="A44" s="10"/>
      <c r="B44" s="10"/>
      <c r="C44" s="10"/>
      <c r="D44" s="10"/>
      <c r="F44" s="10"/>
      <c r="G44" s="10"/>
      <c r="H44" s="10"/>
      <c r="J44" s="10"/>
      <c r="L44" s="10"/>
    </row>
    <row r="45" spans="1:12" x14ac:dyDescent="0.25">
      <c r="A45" s="10"/>
      <c r="B45" s="10"/>
      <c r="C45" s="10"/>
      <c r="D45" s="10"/>
      <c r="F45" s="10"/>
      <c r="G45" s="10"/>
      <c r="H45" s="10"/>
      <c r="J45" s="10"/>
      <c r="L45" s="10"/>
    </row>
    <row r="46" spans="1:12" x14ac:dyDescent="0.25">
      <c r="A46" s="10"/>
      <c r="B46" s="10"/>
      <c r="C46" s="10"/>
      <c r="D46" s="10"/>
      <c r="F46" s="10"/>
      <c r="G46" s="10"/>
      <c r="H46" s="10"/>
      <c r="J46" s="10"/>
      <c r="L46" s="10"/>
    </row>
    <row r="47" spans="1:12" x14ac:dyDescent="0.25">
      <c r="A47" s="10"/>
      <c r="B47" s="10"/>
      <c r="C47" s="10"/>
      <c r="D47" s="10"/>
      <c r="F47" s="10"/>
      <c r="G47" s="10"/>
      <c r="H47" s="10"/>
      <c r="J47" s="10"/>
      <c r="L47" s="10"/>
    </row>
    <row r="48" spans="1:12" x14ac:dyDescent="0.25">
      <c r="A48" s="10"/>
      <c r="B48" s="10"/>
      <c r="C48" s="10"/>
      <c r="D48" s="10"/>
      <c r="F48" s="10"/>
      <c r="G48" s="10"/>
      <c r="H48" s="10"/>
      <c r="J48" s="10"/>
      <c r="L48" s="10"/>
    </row>
    <row r="49" spans="1:13" x14ac:dyDescent="0.25">
      <c r="A49" s="10"/>
      <c r="B49" s="10"/>
      <c r="C49" s="10"/>
      <c r="D49" s="10"/>
      <c r="F49" s="10"/>
      <c r="G49" s="10"/>
      <c r="H49" s="10"/>
      <c r="J49" s="10"/>
      <c r="L49" s="10"/>
    </row>
    <row r="50" spans="1:13" x14ac:dyDescent="0.25">
      <c r="A50" s="10"/>
      <c r="B50" s="10"/>
      <c r="C50" s="10"/>
      <c r="D50" s="10"/>
      <c r="F50" s="10"/>
      <c r="G50" s="10"/>
      <c r="H50" s="10"/>
    </row>
    <row r="51" spans="1:13" x14ac:dyDescent="0.25">
      <c r="A51" s="10" t="s">
        <v>157</v>
      </c>
      <c r="B51" s="10" t="s">
        <v>96</v>
      </c>
      <c r="C51" s="10">
        <v>6000</v>
      </c>
      <c r="D51" s="10"/>
      <c r="F51" s="10"/>
      <c r="G51" s="10"/>
      <c r="H51" s="10"/>
    </row>
    <row r="52" spans="1:13" x14ac:dyDescent="0.25">
      <c r="A52" s="10" t="s">
        <v>157</v>
      </c>
      <c r="B52" s="10" t="s">
        <v>21</v>
      </c>
      <c r="C52" s="10">
        <v>3500</v>
      </c>
      <c r="D52" s="10"/>
      <c r="F52" s="10"/>
      <c r="G52" s="10"/>
      <c r="H52" s="10"/>
    </row>
    <row r="53" spans="1:13" x14ac:dyDescent="0.25">
      <c r="A53" s="10" t="s">
        <v>158</v>
      </c>
      <c r="B53" s="10" t="s">
        <v>20</v>
      </c>
      <c r="C53" s="10">
        <v>2000</v>
      </c>
      <c r="D53" s="10"/>
      <c r="F53" s="10"/>
      <c r="G53" s="10"/>
      <c r="H53" s="10"/>
    </row>
    <row r="54" spans="1:13" x14ac:dyDescent="0.25">
      <c r="A54" s="10" t="s">
        <v>158</v>
      </c>
      <c r="B54" s="10" t="s">
        <v>98</v>
      </c>
      <c r="C54" s="10">
        <v>550</v>
      </c>
      <c r="D54" s="10"/>
      <c r="F54" s="10"/>
      <c r="G54" s="10"/>
      <c r="H54" s="10"/>
    </row>
    <row r="55" spans="1:13" x14ac:dyDescent="0.25">
      <c r="A55" s="10"/>
      <c r="B55" s="10"/>
      <c r="C55" s="10"/>
      <c r="D55" s="10"/>
      <c r="F55" s="10"/>
      <c r="G55" s="10"/>
      <c r="H55" s="10"/>
    </row>
    <row r="56" spans="1:13" x14ac:dyDescent="0.25">
      <c r="A56" s="10"/>
      <c r="B56" s="10"/>
      <c r="C56" s="10"/>
      <c r="D56" s="10"/>
      <c r="F56" s="10"/>
      <c r="G56" s="10"/>
      <c r="H56" s="10"/>
    </row>
    <row r="57" spans="1:13" x14ac:dyDescent="0.25">
      <c r="A57" s="10"/>
      <c r="B57" s="10"/>
      <c r="C57" s="10"/>
      <c r="D57" s="10"/>
      <c r="F57" s="10"/>
      <c r="G57" s="10"/>
      <c r="H57" s="10"/>
    </row>
    <row r="58" spans="1:13" x14ac:dyDescent="0.25">
      <c r="A58" s="10"/>
      <c r="B58" s="10"/>
      <c r="C58" s="10"/>
      <c r="D58" s="10"/>
      <c r="F58" s="10"/>
      <c r="G58" s="10"/>
      <c r="H58" s="10"/>
    </row>
    <row r="59" spans="1:13" x14ac:dyDescent="0.25">
      <c r="A59" s="10"/>
      <c r="B59" s="10"/>
      <c r="C59" s="10"/>
      <c r="D59" s="10"/>
      <c r="F59" s="10"/>
      <c r="G59" s="10"/>
      <c r="H59" s="10"/>
    </row>
    <row r="60" spans="1:13" x14ac:dyDescent="0.25">
      <c r="A60" s="10"/>
      <c r="B60" s="10"/>
      <c r="C60" s="10"/>
      <c r="D60" s="10"/>
      <c r="F60" s="10"/>
      <c r="G60" s="10"/>
      <c r="H60" s="10"/>
    </row>
    <row r="61" spans="1:13" x14ac:dyDescent="0.25">
      <c r="A61" s="10"/>
      <c r="B61" s="10"/>
      <c r="C61" s="10"/>
      <c r="D61" s="10"/>
      <c r="F61" s="10"/>
      <c r="G61" s="10"/>
      <c r="H61" s="10"/>
    </row>
    <row r="62" spans="1:13" x14ac:dyDescent="0.25">
      <c r="A62" s="10"/>
      <c r="B62" s="10"/>
      <c r="C62" s="10"/>
      <c r="D62" s="10"/>
      <c r="F62" s="10"/>
      <c r="G62" s="10"/>
      <c r="H62" s="10"/>
    </row>
    <row r="63" spans="1:13" x14ac:dyDescent="0.25">
      <c r="A63" s="10"/>
      <c r="B63" s="10"/>
      <c r="C63" s="10"/>
      <c r="D63" s="10"/>
      <c r="F63" s="10"/>
      <c r="G63" s="10"/>
      <c r="H63" s="10"/>
    </row>
    <row r="64" spans="1:13" s="11" customFormat="1" x14ac:dyDescent="0.25">
      <c r="A64" s="11" t="s">
        <v>101</v>
      </c>
      <c r="C64" s="12"/>
      <c r="E64" s="12"/>
      <c r="I64" s="12"/>
      <c r="K64" s="12"/>
      <c r="M64" s="12"/>
    </row>
    <row r="65" spans="1:5" x14ac:dyDescent="0.25">
      <c r="C65" s="10"/>
    </row>
    <row r="66" spans="1:5" x14ac:dyDescent="0.25">
      <c r="A66" s="13"/>
      <c r="C66" s="10"/>
    </row>
    <row r="67" spans="1:5" x14ac:dyDescent="0.25">
      <c r="A67" s="9" t="s">
        <v>99</v>
      </c>
      <c r="B67" s="9" t="s">
        <v>102</v>
      </c>
      <c r="C67" s="10"/>
      <c r="E67" s="10">
        <v>200</v>
      </c>
    </row>
    <row r="68" spans="1:5" x14ac:dyDescent="0.25">
      <c r="C68" s="10"/>
    </row>
    <row r="69" spans="1:5" x14ac:dyDescent="0.25">
      <c r="C69" s="10"/>
    </row>
    <row r="70" spans="1:5" x14ac:dyDescent="0.25">
      <c r="C70" s="10"/>
    </row>
    <row r="71" spans="1:5" x14ac:dyDescent="0.25">
      <c r="C71" s="10"/>
    </row>
    <row r="72" spans="1:5" x14ac:dyDescent="0.25">
      <c r="C72" s="10"/>
    </row>
    <row r="73" spans="1:5" x14ac:dyDescent="0.25">
      <c r="C73" s="10"/>
    </row>
    <row r="74" spans="1:5" x14ac:dyDescent="0.25">
      <c r="C74" s="10"/>
    </row>
    <row r="75" spans="1:5" x14ac:dyDescent="0.25">
      <c r="C75" s="10"/>
    </row>
    <row r="76" spans="1:5" x14ac:dyDescent="0.25">
      <c r="C76" s="10"/>
    </row>
    <row r="77" spans="1:5" x14ac:dyDescent="0.25">
      <c r="C77" s="10"/>
    </row>
    <row r="78" spans="1:5" x14ac:dyDescent="0.25">
      <c r="C78" s="10"/>
    </row>
    <row r="79" spans="1:5" x14ac:dyDescent="0.25">
      <c r="C79" s="10"/>
    </row>
    <row r="80" spans="1:5" x14ac:dyDescent="0.25">
      <c r="C80" s="10"/>
    </row>
    <row r="81" spans="3:3" x14ac:dyDescent="0.25">
      <c r="C81" s="10"/>
    </row>
    <row r="82" spans="3:3" x14ac:dyDescent="0.25">
      <c r="C82" s="1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M82"/>
  <sheetViews>
    <sheetView workbookViewId="0">
      <pane ySplit="3" topLeftCell="A4" activePane="bottomLeft" state="frozen"/>
      <selection activeCell="B1" sqref="B1"/>
      <selection pane="bottomLeft" activeCell="D14" sqref="D14"/>
    </sheetView>
  </sheetViews>
  <sheetFormatPr baseColWidth="10" defaultColWidth="10.7109375" defaultRowHeight="15" x14ac:dyDescent="0.25"/>
  <cols>
    <col min="1" max="1" width="22.7109375" style="9" customWidth="1"/>
    <col min="2" max="2" width="51" style="9" customWidth="1"/>
    <col min="3" max="3" width="39.85546875" style="9" customWidth="1"/>
    <col min="4" max="4" width="43.28515625" style="9" customWidth="1"/>
    <col min="5" max="5" width="10.7109375" style="10"/>
    <col min="6" max="8" width="10.7109375" style="9"/>
    <col min="9" max="9" width="42.42578125" style="10" customWidth="1"/>
    <col min="10" max="10" width="31.85546875" style="9" customWidth="1"/>
    <col min="11" max="11" width="18" style="10" customWidth="1"/>
    <col min="12" max="12" width="18" style="9" customWidth="1"/>
    <col min="13" max="13" width="19.28515625" style="10" customWidth="1"/>
    <col min="14" max="16384" width="10.7109375" style="9"/>
  </cols>
  <sheetData>
    <row r="1" spans="1:13" s="11" customFormat="1" x14ac:dyDescent="0.25">
      <c r="A1" s="11" t="s">
        <v>0</v>
      </c>
      <c r="E1" s="12"/>
      <c r="I1" s="12"/>
      <c r="K1" s="12"/>
      <c r="M1" s="12"/>
    </row>
    <row r="3" spans="1:13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I3" s="12" t="s">
        <v>11</v>
      </c>
      <c r="J3" s="11" t="s">
        <v>8</v>
      </c>
      <c r="K3" s="12" t="s">
        <v>9</v>
      </c>
      <c r="L3" s="11" t="s">
        <v>64</v>
      </c>
      <c r="M3" s="12" t="s">
        <v>13</v>
      </c>
    </row>
    <row r="4" spans="1:13" x14ac:dyDescent="0.25">
      <c r="A4" s="15" t="s">
        <v>176</v>
      </c>
      <c r="B4" s="5" t="s">
        <v>177</v>
      </c>
      <c r="C4" s="5" t="s">
        <v>27</v>
      </c>
      <c r="D4" s="5" t="s">
        <v>33</v>
      </c>
      <c r="E4" s="4">
        <v>1500</v>
      </c>
      <c r="F4" s="5"/>
      <c r="G4" s="5"/>
      <c r="H4" s="5"/>
      <c r="I4" s="4" t="s">
        <v>178</v>
      </c>
      <c r="J4" s="4" t="s">
        <v>179</v>
      </c>
      <c r="K4" s="4">
        <v>400</v>
      </c>
      <c r="L4" s="4" t="s">
        <v>180</v>
      </c>
      <c r="M4" s="4">
        <f>E4-K4</f>
        <v>1100</v>
      </c>
    </row>
    <row r="5" spans="1:13" x14ac:dyDescent="0.25">
      <c r="A5" s="14" t="s">
        <v>179</v>
      </c>
      <c r="B5" s="9" t="s">
        <v>182</v>
      </c>
      <c r="C5" s="9" t="s">
        <v>27</v>
      </c>
      <c r="D5" s="9" t="s">
        <v>168</v>
      </c>
      <c r="E5" s="10">
        <v>39900</v>
      </c>
      <c r="I5" s="10" t="s">
        <v>127</v>
      </c>
      <c r="J5" s="10" t="s">
        <v>179</v>
      </c>
      <c r="K5" s="10">
        <f>25083.91+541.42+6000</f>
        <v>31625.329999999998</v>
      </c>
      <c r="L5" s="10" t="s">
        <v>66</v>
      </c>
      <c r="M5" s="10">
        <f>E5-K5</f>
        <v>8274.6700000000019</v>
      </c>
    </row>
    <row r="6" spans="1:13" x14ac:dyDescent="0.25">
      <c r="A6" s="15" t="s">
        <v>183</v>
      </c>
      <c r="B6" s="5" t="s">
        <v>184</v>
      </c>
      <c r="C6" s="5" t="s">
        <v>27</v>
      </c>
      <c r="D6" s="5" t="s">
        <v>33</v>
      </c>
      <c r="E6" s="4">
        <v>650</v>
      </c>
      <c r="F6" s="5"/>
      <c r="G6" s="5"/>
      <c r="H6" s="5"/>
      <c r="I6" s="4" t="s">
        <v>185</v>
      </c>
      <c r="J6" s="4" t="s">
        <v>186</v>
      </c>
      <c r="K6" s="4">
        <v>450</v>
      </c>
      <c r="L6" s="4" t="s">
        <v>187</v>
      </c>
      <c r="M6" s="4">
        <f>E6-K6</f>
        <v>200</v>
      </c>
    </row>
    <row r="7" spans="1:13" x14ac:dyDescent="0.25">
      <c r="A7" s="15" t="s">
        <v>186</v>
      </c>
      <c r="B7" s="5" t="s">
        <v>188</v>
      </c>
      <c r="C7" s="5" t="s">
        <v>27</v>
      </c>
      <c r="D7" s="5" t="s">
        <v>168</v>
      </c>
      <c r="E7" s="4">
        <v>300</v>
      </c>
      <c r="F7" s="5"/>
      <c r="G7" s="5"/>
      <c r="H7" s="5"/>
      <c r="I7" s="4" t="s">
        <v>37</v>
      </c>
      <c r="J7" s="4" t="s">
        <v>37</v>
      </c>
      <c r="K7" s="4">
        <v>0</v>
      </c>
      <c r="L7" s="4" t="s">
        <v>189</v>
      </c>
      <c r="M7" s="4">
        <f>E7</f>
        <v>300</v>
      </c>
    </row>
    <row r="8" spans="1:13" x14ac:dyDescent="0.25">
      <c r="A8" s="14" t="s">
        <v>190</v>
      </c>
      <c r="B8" s="9" t="s">
        <v>191</v>
      </c>
      <c r="C8" s="9" t="s">
        <v>27</v>
      </c>
      <c r="D8" s="9" t="s">
        <v>33</v>
      </c>
      <c r="E8" s="10">
        <v>1100</v>
      </c>
      <c r="I8" s="10" t="s">
        <v>192</v>
      </c>
      <c r="J8" s="10" t="s">
        <v>193</v>
      </c>
      <c r="K8" s="10">
        <v>650</v>
      </c>
      <c r="L8" s="10"/>
      <c r="M8" s="10">
        <f>E8-K8</f>
        <v>450</v>
      </c>
    </row>
    <row r="9" spans="1:13" x14ac:dyDescent="0.25">
      <c r="A9" s="14" t="s">
        <v>190</v>
      </c>
      <c r="B9" s="9" t="s">
        <v>194</v>
      </c>
      <c r="C9" s="9" t="s">
        <v>27</v>
      </c>
      <c r="D9" s="9" t="s">
        <v>33</v>
      </c>
      <c r="E9" s="10">
        <v>350</v>
      </c>
      <c r="I9" s="10" t="s">
        <v>37</v>
      </c>
      <c r="J9" s="10" t="s">
        <v>37</v>
      </c>
      <c r="K9" s="10">
        <v>0</v>
      </c>
      <c r="L9" s="10" t="s">
        <v>189</v>
      </c>
      <c r="M9" s="10">
        <f>E9</f>
        <v>350</v>
      </c>
    </row>
    <row r="10" spans="1:13" x14ac:dyDescent="0.25">
      <c r="A10" s="14"/>
      <c r="J10" s="10"/>
      <c r="L10" s="10"/>
    </row>
    <row r="11" spans="1:13" x14ac:dyDescent="0.25">
      <c r="A11" s="14"/>
      <c r="J11" s="10"/>
      <c r="L11" s="10"/>
    </row>
    <row r="12" spans="1:13" x14ac:dyDescent="0.25">
      <c r="A12" s="14"/>
      <c r="J12" s="10"/>
      <c r="L12" s="10"/>
    </row>
    <row r="13" spans="1:13" x14ac:dyDescent="0.25">
      <c r="J13" s="10"/>
      <c r="L13" s="10"/>
    </row>
    <row r="14" spans="1:13" x14ac:dyDescent="0.25">
      <c r="J14" s="10"/>
      <c r="L14" s="10"/>
    </row>
    <row r="15" spans="1:13" x14ac:dyDescent="0.25">
      <c r="J15" s="10"/>
      <c r="L15" s="10"/>
    </row>
    <row r="16" spans="1:13" x14ac:dyDescent="0.25">
      <c r="J16" s="10"/>
      <c r="L16" s="10"/>
    </row>
    <row r="17" spans="1:13" x14ac:dyDescent="0.25">
      <c r="J17" s="10"/>
      <c r="L17" s="10"/>
    </row>
    <row r="18" spans="1:13" x14ac:dyDescent="0.25">
      <c r="J18" s="10"/>
      <c r="L18" s="10"/>
    </row>
    <row r="19" spans="1:13" x14ac:dyDescent="0.25">
      <c r="J19" s="10"/>
      <c r="L19" s="10"/>
    </row>
    <row r="20" spans="1:13" x14ac:dyDescent="0.25">
      <c r="J20" s="10"/>
      <c r="L20" s="10"/>
    </row>
    <row r="21" spans="1:13" x14ac:dyDescent="0.25">
      <c r="J21" s="10"/>
      <c r="L21" s="10"/>
    </row>
    <row r="22" spans="1:13" x14ac:dyDescent="0.25">
      <c r="J22" s="10"/>
      <c r="L22" s="10"/>
    </row>
    <row r="24" spans="1:13" s="11" customFormat="1" x14ac:dyDescent="0.25">
      <c r="A24" s="11" t="s">
        <v>156</v>
      </c>
      <c r="E24" s="12"/>
      <c r="I24" s="12"/>
      <c r="K24" s="12"/>
      <c r="M24" s="12"/>
    </row>
    <row r="26" spans="1:13" x14ac:dyDescent="0.25">
      <c r="A26" s="9" t="s">
        <v>181</v>
      </c>
      <c r="B26" s="9" t="s">
        <v>108</v>
      </c>
      <c r="C26" s="10">
        <v>900</v>
      </c>
      <c r="J26" s="10"/>
      <c r="L26" s="10"/>
    </row>
    <row r="27" spans="1:13" x14ac:dyDescent="0.25">
      <c r="A27" s="9" t="s">
        <v>181</v>
      </c>
      <c r="B27" s="9" t="s">
        <v>76</v>
      </c>
      <c r="C27" s="10">
        <v>500</v>
      </c>
    </row>
    <row r="28" spans="1:13" x14ac:dyDescent="0.25">
      <c r="A28" s="9" t="s">
        <v>195</v>
      </c>
      <c r="B28" s="9" t="s">
        <v>108</v>
      </c>
      <c r="C28" s="10">
        <v>900</v>
      </c>
    </row>
    <row r="29" spans="1:13" x14ac:dyDescent="0.25">
      <c r="A29" s="9" t="s">
        <v>195</v>
      </c>
      <c r="B29" s="9" t="s">
        <v>76</v>
      </c>
      <c r="C29" s="10">
        <v>500</v>
      </c>
    </row>
    <row r="30" spans="1:13" x14ac:dyDescent="0.25">
      <c r="C30" s="10"/>
    </row>
    <row r="31" spans="1:13" x14ac:dyDescent="0.25">
      <c r="C31" s="10"/>
    </row>
    <row r="32" spans="1:13" x14ac:dyDescent="0.25">
      <c r="C32" s="10"/>
    </row>
    <row r="33" spans="1:12" x14ac:dyDescent="0.25">
      <c r="C33" s="10"/>
    </row>
    <row r="34" spans="1:12" x14ac:dyDescent="0.25">
      <c r="C34" s="10"/>
    </row>
    <row r="35" spans="1:12" x14ac:dyDescent="0.25">
      <c r="C35" s="10"/>
      <c r="J35" s="10"/>
      <c r="L35" s="10"/>
    </row>
    <row r="36" spans="1:12" x14ac:dyDescent="0.25">
      <c r="C36" s="10"/>
      <c r="J36" s="10"/>
      <c r="L36" s="10"/>
    </row>
    <row r="37" spans="1:12" x14ac:dyDescent="0.25">
      <c r="C37" s="10"/>
      <c r="J37" s="10"/>
      <c r="L37" s="10"/>
    </row>
    <row r="38" spans="1:12" x14ac:dyDescent="0.25">
      <c r="C38" s="10"/>
    </row>
    <row r="39" spans="1:12" x14ac:dyDescent="0.25">
      <c r="C39" s="10"/>
      <c r="J39" s="10"/>
      <c r="L39" s="10"/>
    </row>
    <row r="40" spans="1:12" x14ac:dyDescent="0.25">
      <c r="C40" s="10"/>
      <c r="J40" s="10"/>
      <c r="L40" s="10"/>
    </row>
    <row r="41" spans="1:12" x14ac:dyDescent="0.25">
      <c r="C41" s="10"/>
      <c r="J41" s="10"/>
      <c r="L41" s="10"/>
    </row>
    <row r="42" spans="1:12" x14ac:dyDescent="0.25">
      <c r="J42" s="10"/>
      <c r="L42" s="10"/>
    </row>
    <row r="43" spans="1:12" x14ac:dyDescent="0.25">
      <c r="A43" s="10"/>
      <c r="B43" s="10"/>
      <c r="C43" s="10"/>
      <c r="D43" s="10"/>
      <c r="F43" s="10"/>
      <c r="G43" s="10"/>
      <c r="H43" s="10"/>
      <c r="J43" s="10"/>
      <c r="L43" s="10"/>
    </row>
    <row r="44" spans="1:12" x14ac:dyDescent="0.25">
      <c r="A44" s="10"/>
      <c r="B44" s="10"/>
      <c r="C44" s="10"/>
      <c r="D44" s="10"/>
      <c r="F44" s="10"/>
      <c r="G44" s="10"/>
      <c r="H44" s="10"/>
      <c r="J44" s="10"/>
      <c r="L44" s="10"/>
    </row>
    <row r="45" spans="1:12" x14ac:dyDescent="0.25">
      <c r="A45" s="10"/>
      <c r="B45" s="10"/>
      <c r="C45" s="10"/>
      <c r="D45" s="10"/>
      <c r="F45" s="10"/>
      <c r="G45" s="10"/>
      <c r="H45" s="10"/>
      <c r="J45" s="10"/>
      <c r="L45" s="10"/>
    </row>
    <row r="46" spans="1:12" x14ac:dyDescent="0.25">
      <c r="A46" s="10"/>
      <c r="B46" s="10"/>
      <c r="C46" s="10"/>
      <c r="D46" s="10"/>
      <c r="F46" s="10"/>
      <c r="G46" s="10"/>
      <c r="H46" s="10"/>
      <c r="J46" s="10"/>
      <c r="L46" s="10"/>
    </row>
    <row r="47" spans="1:12" x14ac:dyDescent="0.25">
      <c r="A47" s="10"/>
      <c r="B47" s="10"/>
      <c r="C47" s="10"/>
      <c r="D47" s="10"/>
      <c r="F47" s="10"/>
      <c r="G47" s="10"/>
      <c r="H47" s="10"/>
      <c r="J47" s="10"/>
      <c r="L47" s="10"/>
    </row>
    <row r="48" spans="1:12" x14ac:dyDescent="0.25">
      <c r="A48" s="10"/>
      <c r="B48" s="10"/>
      <c r="C48" s="10"/>
      <c r="D48" s="10"/>
      <c r="F48" s="10"/>
      <c r="G48" s="10"/>
      <c r="H48" s="10"/>
      <c r="J48" s="10"/>
      <c r="L48" s="10"/>
    </row>
    <row r="49" spans="1:13" x14ac:dyDescent="0.25">
      <c r="A49" s="10"/>
      <c r="B49" s="10"/>
      <c r="C49" s="10"/>
      <c r="D49" s="10"/>
      <c r="F49" s="10"/>
      <c r="G49" s="10"/>
      <c r="H49" s="10"/>
      <c r="J49" s="10"/>
      <c r="L49" s="10"/>
    </row>
    <row r="50" spans="1:13" x14ac:dyDescent="0.25">
      <c r="A50" s="10"/>
      <c r="B50" s="10"/>
      <c r="C50" s="10"/>
      <c r="D50" s="10"/>
      <c r="F50" s="10"/>
      <c r="G50" s="10"/>
      <c r="H50" s="10"/>
    </row>
    <row r="51" spans="1:13" x14ac:dyDescent="0.25">
      <c r="A51" s="10" t="s">
        <v>157</v>
      </c>
      <c r="B51" s="10" t="s">
        <v>96</v>
      </c>
      <c r="C51" s="10">
        <v>6000</v>
      </c>
      <c r="D51" s="10"/>
      <c r="F51" s="10"/>
      <c r="G51" s="10"/>
      <c r="H51" s="10"/>
    </row>
    <row r="52" spans="1:13" x14ac:dyDescent="0.25">
      <c r="A52" s="10" t="s">
        <v>157</v>
      </c>
      <c r="B52" s="10" t="s">
        <v>21</v>
      </c>
      <c r="C52" s="10">
        <v>3500</v>
      </c>
      <c r="D52" s="10"/>
      <c r="F52" s="10"/>
      <c r="G52" s="10"/>
      <c r="H52" s="10"/>
    </row>
    <row r="53" spans="1:13" x14ac:dyDescent="0.25">
      <c r="A53" s="10" t="s">
        <v>158</v>
      </c>
      <c r="B53" s="10" t="s">
        <v>20</v>
      </c>
      <c r="C53" s="10">
        <v>2000</v>
      </c>
      <c r="D53" s="10"/>
      <c r="F53" s="10"/>
      <c r="G53" s="10"/>
      <c r="H53" s="10"/>
    </row>
    <row r="54" spans="1:13" x14ac:dyDescent="0.25">
      <c r="A54" s="10" t="s">
        <v>158</v>
      </c>
      <c r="B54" s="10" t="s">
        <v>98</v>
      </c>
      <c r="C54" s="10">
        <v>550</v>
      </c>
      <c r="D54" s="10"/>
      <c r="F54" s="10"/>
      <c r="G54" s="10"/>
      <c r="H54" s="10"/>
    </row>
    <row r="55" spans="1:13" x14ac:dyDescent="0.25">
      <c r="A55" s="10"/>
      <c r="B55" s="10"/>
      <c r="C55" s="10"/>
      <c r="D55" s="10"/>
      <c r="F55" s="10"/>
      <c r="G55" s="10"/>
      <c r="H55" s="10"/>
    </row>
    <row r="56" spans="1:13" x14ac:dyDescent="0.25">
      <c r="A56" s="10"/>
      <c r="B56" s="10"/>
      <c r="C56" s="10"/>
      <c r="D56" s="10"/>
      <c r="F56" s="10"/>
      <c r="G56" s="10"/>
      <c r="H56" s="10"/>
    </row>
    <row r="57" spans="1:13" x14ac:dyDescent="0.25">
      <c r="A57" s="10"/>
      <c r="B57" s="10"/>
      <c r="C57" s="10"/>
      <c r="D57" s="10"/>
      <c r="F57" s="10"/>
      <c r="G57" s="10"/>
      <c r="H57" s="10"/>
    </row>
    <row r="58" spans="1:13" x14ac:dyDescent="0.25">
      <c r="A58" s="10"/>
      <c r="B58" s="10"/>
      <c r="C58" s="10"/>
      <c r="D58" s="10"/>
      <c r="F58" s="10"/>
      <c r="G58" s="10"/>
      <c r="H58" s="10"/>
    </row>
    <row r="59" spans="1:13" x14ac:dyDescent="0.25">
      <c r="A59" s="10"/>
      <c r="B59" s="10"/>
      <c r="C59" s="10"/>
      <c r="D59" s="10"/>
      <c r="F59" s="10"/>
      <c r="G59" s="10"/>
      <c r="H59" s="10"/>
    </row>
    <row r="60" spans="1:13" x14ac:dyDescent="0.25">
      <c r="A60" s="10"/>
      <c r="B60" s="10"/>
      <c r="C60" s="10"/>
      <c r="D60" s="10"/>
      <c r="F60" s="10"/>
      <c r="G60" s="10"/>
      <c r="H60" s="10"/>
    </row>
    <row r="61" spans="1:13" x14ac:dyDescent="0.25">
      <c r="A61" s="10"/>
      <c r="B61" s="10"/>
      <c r="C61" s="10"/>
      <c r="D61" s="10"/>
      <c r="F61" s="10"/>
      <c r="G61" s="10"/>
      <c r="H61" s="10"/>
    </row>
    <row r="62" spans="1:13" x14ac:dyDescent="0.25">
      <c r="A62" s="10"/>
      <c r="B62" s="10"/>
      <c r="C62" s="10"/>
      <c r="D62" s="10"/>
      <c r="F62" s="10"/>
      <c r="G62" s="10"/>
      <c r="H62" s="10"/>
    </row>
    <row r="63" spans="1:13" x14ac:dyDescent="0.25">
      <c r="A63" s="10"/>
      <c r="B63" s="10"/>
      <c r="C63" s="10"/>
      <c r="D63" s="10"/>
      <c r="F63" s="10"/>
      <c r="G63" s="10"/>
      <c r="H63" s="10"/>
    </row>
    <row r="64" spans="1:13" s="11" customFormat="1" x14ac:dyDescent="0.25">
      <c r="A64" s="11" t="s">
        <v>101</v>
      </c>
      <c r="C64" s="12"/>
      <c r="E64" s="12"/>
      <c r="I64" s="12"/>
      <c r="K64" s="12"/>
      <c r="M64" s="12"/>
    </row>
    <row r="65" spans="1:5" x14ac:dyDescent="0.25">
      <c r="C65" s="10"/>
    </row>
    <row r="66" spans="1:5" x14ac:dyDescent="0.25">
      <c r="A66" s="13"/>
      <c r="C66" s="10"/>
    </row>
    <row r="67" spans="1:5" x14ac:dyDescent="0.25">
      <c r="A67" s="9" t="s">
        <v>99</v>
      </c>
      <c r="B67" s="9" t="s">
        <v>102</v>
      </c>
      <c r="C67" s="10"/>
      <c r="E67" s="10">
        <v>200</v>
      </c>
    </row>
    <row r="68" spans="1:5" x14ac:dyDescent="0.25">
      <c r="C68" s="10"/>
    </row>
    <row r="69" spans="1:5" x14ac:dyDescent="0.25">
      <c r="C69" s="10"/>
    </row>
    <row r="70" spans="1:5" x14ac:dyDescent="0.25">
      <c r="C70" s="10"/>
    </row>
    <row r="71" spans="1:5" x14ac:dyDescent="0.25">
      <c r="C71" s="10"/>
    </row>
    <row r="72" spans="1:5" x14ac:dyDescent="0.25">
      <c r="C72" s="10"/>
    </row>
    <row r="73" spans="1:5" x14ac:dyDescent="0.25">
      <c r="C73" s="10"/>
    </row>
    <row r="74" spans="1:5" x14ac:dyDescent="0.25">
      <c r="C74" s="10"/>
    </row>
    <row r="75" spans="1:5" x14ac:dyDescent="0.25">
      <c r="C75" s="10"/>
    </row>
    <row r="76" spans="1:5" x14ac:dyDescent="0.25">
      <c r="C76" s="10"/>
    </row>
    <row r="77" spans="1:5" x14ac:dyDescent="0.25">
      <c r="C77" s="10"/>
    </row>
    <row r="78" spans="1:5" x14ac:dyDescent="0.25">
      <c r="C78" s="10"/>
    </row>
    <row r="79" spans="1:5" x14ac:dyDescent="0.25">
      <c r="C79" s="10"/>
    </row>
    <row r="80" spans="1:5" x14ac:dyDescent="0.25">
      <c r="C80" s="10"/>
    </row>
    <row r="81" spans="3:3" x14ac:dyDescent="0.25">
      <c r="C81" s="10"/>
    </row>
    <row r="82" spans="3:3" x14ac:dyDescent="0.25">
      <c r="C82" s="1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M82"/>
  <sheetViews>
    <sheetView topLeftCell="C1" workbookViewId="0">
      <pane ySplit="3" topLeftCell="A4" activePane="bottomLeft" state="frozen"/>
      <selection activeCell="B1" sqref="B1"/>
      <selection pane="bottomLeft" activeCell="A8" sqref="A8:M8"/>
    </sheetView>
  </sheetViews>
  <sheetFormatPr baseColWidth="10" defaultColWidth="10.7109375" defaultRowHeight="15" x14ac:dyDescent="0.25"/>
  <cols>
    <col min="1" max="1" width="22.7109375" style="9" customWidth="1"/>
    <col min="2" max="2" width="51" style="9" customWidth="1"/>
    <col min="3" max="3" width="39.85546875" style="9" customWidth="1"/>
    <col min="4" max="4" width="43.28515625" style="9" customWidth="1"/>
    <col min="5" max="5" width="10.7109375" style="10"/>
    <col min="6" max="8" width="10.7109375" style="9"/>
    <col min="9" max="9" width="42.42578125" style="10" customWidth="1"/>
    <col min="10" max="10" width="31.85546875" style="9" customWidth="1"/>
    <col min="11" max="11" width="18" style="10" customWidth="1"/>
    <col min="12" max="12" width="18" style="9" customWidth="1"/>
    <col min="13" max="13" width="19.28515625" style="10" customWidth="1"/>
    <col min="14" max="16384" width="10.7109375" style="9"/>
  </cols>
  <sheetData>
    <row r="1" spans="1:13" s="11" customFormat="1" x14ac:dyDescent="0.25">
      <c r="A1" s="11" t="s">
        <v>0</v>
      </c>
      <c r="E1" s="12"/>
      <c r="I1" s="12"/>
      <c r="K1" s="12"/>
      <c r="M1" s="12"/>
    </row>
    <row r="3" spans="1:13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I3" s="12" t="s">
        <v>11</v>
      </c>
      <c r="J3" s="11" t="s">
        <v>8</v>
      </c>
      <c r="K3" s="12" t="s">
        <v>9</v>
      </c>
      <c r="L3" s="11" t="s">
        <v>64</v>
      </c>
      <c r="M3" s="12" t="s">
        <v>13</v>
      </c>
    </row>
    <row r="4" spans="1:13" x14ac:dyDescent="0.25">
      <c r="A4" s="15" t="s">
        <v>196</v>
      </c>
      <c r="B4" s="5" t="s">
        <v>197</v>
      </c>
      <c r="C4" s="5" t="s">
        <v>27</v>
      </c>
      <c r="D4" s="5" t="s">
        <v>33</v>
      </c>
      <c r="E4" s="4">
        <v>1000</v>
      </c>
      <c r="F4" s="5"/>
      <c r="G4" s="5"/>
      <c r="H4" s="5"/>
      <c r="I4" s="4" t="s">
        <v>198</v>
      </c>
      <c r="J4" s="4" t="s">
        <v>37</v>
      </c>
      <c r="K4" s="4">
        <v>0</v>
      </c>
      <c r="L4" s="4" t="s">
        <v>199</v>
      </c>
      <c r="M4" s="4">
        <f>E4-K4</f>
        <v>1000</v>
      </c>
    </row>
    <row r="5" spans="1:13" x14ac:dyDescent="0.25">
      <c r="A5" s="15" t="s">
        <v>196</v>
      </c>
      <c r="B5" s="5" t="s">
        <v>200</v>
      </c>
      <c r="C5" s="5" t="s">
        <v>27</v>
      </c>
      <c r="D5" s="5" t="s">
        <v>33</v>
      </c>
      <c r="E5" s="4">
        <v>1350</v>
      </c>
      <c r="F5" s="5"/>
      <c r="G5" s="5"/>
      <c r="H5" s="5"/>
      <c r="I5" s="4" t="s">
        <v>201</v>
      </c>
      <c r="J5" s="4" t="s">
        <v>196</v>
      </c>
      <c r="K5" s="4">
        <f>300+300</f>
        <v>600</v>
      </c>
      <c r="L5" s="4" t="s">
        <v>202</v>
      </c>
      <c r="M5" s="4">
        <f>E5-K5</f>
        <v>750</v>
      </c>
    </row>
    <row r="6" spans="1:13" x14ac:dyDescent="0.25">
      <c r="A6" s="15" t="s">
        <v>196</v>
      </c>
      <c r="B6" s="5" t="s">
        <v>212</v>
      </c>
      <c r="C6" s="5" t="s">
        <v>27</v>
      </c>
      <c r="D6" s="5" t="s">
        <v>33</v>
      </c>
      <c r="E6" s="4">
        <v>2750</v>
      </c>
      <c r="F6" s="5"/>
      <c r="G6" s="5"/>
      <c r="H6" s="5"/>
      <c r="I6" s="4" t="s">
        <v>213</v>
      </c>
      <c r="J6" s="4" t="s">
        <v>196</v>
      </c>
      <c r="K6" s="4">
        <v>1300</v>
      </c>
      <c r="L6" s="4" t="s">
        <v>214</v>
      </c>
      <c r="M6" s="4">
        <f>E6-K6</f>
        <v>1450</v>
      </c>
    </row>
    <row r="7" spans="1:13" x14ac:dyDescent="0.25">
      <c r="A7" s="15" t="s">
        <v>196</v>
      </c>
      <c r="B7" s="5" t="s">
        <v>215</v>
      </c>
      <c r="C7" s="5" t="s">
        <v>27</v>
      </c>
      <c r="D7" s="5" t="s">
        <v>216</v>
      </c>
      <c r="E7" s="4">
        <v>2400</v>
      </c>
      <c r="F7" s="5"/>
      <c r="G7" s="5"/>
      <c r="H7" s="5"/>
      <c r="I7" s="4" t="s">
        <v>37</v>
      </c>
      <c r="J7" s="4" t="s">
        <v>37</v>
      </c>
      <c r="K7" s="4">
        <v>0</v>
      </c>
      <c r="L7" s="4" t="s">
        <v>37</v>
      </c>
      <c r="M7" s="4">
        <f>E7</f>
        <v>2400</v>
      </c>
    </row>
    <row r="8" spans="1:13" x14ac:dyDescent="0.25">
      <c r="A8" s="15" t="s">
        <v>217</v>
      </c>
      <c r="B8" s="5" t="s">
        <v>218</v>
      </c>
      <c r="C8" s="5" t="s">
        <v>27</v>
      </c>
      <c r="D8" s="5" t="s">
        <v>219</v>
      </c>
      <c r="E8" s="4">
        <v>650</v>
      </c>
      <c r="F8" s="5"/>
      <c r="G8" s="5"/>
      <c r="H8" s="5"/>
      <c r="I8" s="4" t="s">
        <v>37</v>
      </c>
      <c r="J8" s="4" t="s">
        <v>37</v>
      </c>
      <c r="K8" s="4">
        <v>0</v>
      </c>
      <c r="L8" s="4" t="s">
        <v>37</v>
      </c>
      <c r="M8" s="4">
        <f t="shared" ref="M8:M13" si="0">E8-K8</f>
        <v>650</v>
      </c>
    </row>
    <row r="9" spans="1:13" x14ac:dyDescent="0.25">
      <c r="A9" s="15" t="s">
        <v>217</v>
      </c>
      <c r="B9" s="5" t="s">
        <v>220</v>
      </c>
      <c r="C9" s="5" t="s">
        <v>27</v>
      </c>
      <c r="D9" s="5" t="s">
        <v>219</v>
      </c>
      <c r="E9" s="4">
        <v>677</v>
      </c>
      <c r="F9" s="5"/>
      <c r="G9" s="5"/>
      <c r="H9" s="5"/>
      <c r="I9" s="4" t="s">
        <v>221</v>
      </c>
      <c r="J9" s="4" t="s">
        <v>222</v>
      </c>
      <c r="K9" s="4">
        <v>350</v>
      </c>
      <c r="L9" s="4" t="s">
        <v>65</v>
      </c>
      <c r="M9" s="4">
        <f t="shared" si="0"/>
        <v>327</v>
      </c>
    </row>
    <row r="10" spans="1:13" x14ac:dyDescent="0.25">
      <c r="A10" s="15" t="s">
        <v>223</v>
      </c>
      <c r="B10" s="5" t="s">
        <v>224</v>
      </c>
      <c r="C10" s="5" t="s">
        <v>27</v>
      </c>
      <c r="D10" s="5" t="s">
        <v>219</v>
      </c>
      <c r="E10" s="4">
        <f>677+550</f>
        <v>1227</v>
      </c>
      <c r="F10" s="5"/>
      <c r="G10" s="5"/>
      <c r="H10" s="5"/>
      <c r="I10" s="4" t="s">
        <v>221</v>
      </c>
      <c r="J10" s="4" t="s">
        <v>222</v>
      </c>
      <c r="K10" s="4">
        <v>350</v>
      </c>
      <c r="L10" s="4" t="s">
        <v>65</v>
      </c>
      <c r="M10" s="4">
        <f t="shared" si="0"/>
        <v>877</v>
      </c>
    </row>
    <row r="11" spans="1:13" x14ac:dyDescent="0.25">
      <c r="A11" s="15" t="s">
        <v>223</v>
      </c>
      <c r="B11" s="5" t="s">
        <v>225</v>
      </c>
      <c r="C11" s="5" t="s">
        <v>27</v>
      </c>
      <c r="D11" s="5" t="s">
        <v>33</v>
      </c>
      <c r="E11" s="4">
        <v>2000</v>
      </c>
      <c r="F11" s="5"/>
      <c r="G11" s="5"/>
      <c r="H11" s="5"/>
      <c r="I11" s="4" t="s">
        <v>123</v>
      </c>
      <c r="J11" s="4" t="s">
        <v>222</v>
      </c>
      <c r="K11" s="4">
        <v>450</v>
      </c>
      <c r="L11" s="4" t="s">
        <v>65</v>
      </c>
      <c r="M11" s="4">
        <f t="shared" si="0"/>
        <v>1550</v>
      </c>
    </row>
    <row r="12" spans="1:13" x14ac:dyDescent="0.25">
      <c r="A12" s="15" t="s">
        <v>223</v>
      </c>
      <c r="B12" s="5" t="s">
        <v>226</v>
      </c>
      <c r="C12" s="5" t="s">
        <v>27</v>
      </c>
      <c r="D12" s="5" t="s">
        <v>33</v>
      </c>
      <c r="E12" s="4">
        <v>550</v>
      </c>
      <c r="F12" s="5"/>
      <c r="G12" s="5"/>
      <c r="H12" s="5"/>
      <c r="I12" s="4" t="s">
        <v>37</v>
      </c>
      <c r="J12" s="4" t="s">
        <v>37</v>
      </c>
      <c r="K12" s="4">
        <v>0</v>
      </c>
      <c r="L12" s="4" t="s">
        <v>37</v>
      </c>
      <c r="M12" s="4">
        <f t="shared" si="0"/>
        <v>550</v>
      </c>
    </row>
    <row r="13" spans="1:13" x14ac:dyDescent="0.25">
      <c r="A13" s="15" t="s">
        <v>223</v>
      </c>
      <c r="B13" s="5" t="s">
        <v>118</v>
      </c>
      <c r="C13" s="5" t="s">
        <v>27</v>
      </c>
      <c r="D13" s="5" t="s">
        <v>168</v>
      </c>
      <c r="E13" s="4">
        <v>650</v>
      </c>
      <c r="F13" s="5"/>
      <c r="G13" s="5"/>
      <c r="H13" s="5"/>
      <c r="I13" s="4" t="s">
        <v>37</v>
      </c>
      <c r="J13" s="4" t="s">
        <v>37</v>
      </c>
      <c r="K13" s="4">
        <v>0</v>
      </c>
      <c r="L13" s="4" t="s">
        <v>37</v>
      </c>
      <c r="M13" s="4">
        <f t="shared" si="0"/>
        <v>650</v>
      </c>
    </row>
    <row r="14" spans="1:13" x14ac:dyDescent="0.25">
      <c r="A14" s="5" t="s">
        <v>227</v>
      </c>
      <c r="B14" s="5" t="s">
        <v>228</v>
      </c>
      <c r="C14" s="5" t="s">
        <v>27</v>
      </c>
      <c r="D14" s="5" t="s">
        <v>33</v>
      </c>
      <c r="E14" s="4">
        <v>500</v>
      </c>
      <c r="F14" s="5"/>
      <c r="G14" s="5"/>
      <c r="H14" s="5"/>
      <c r="I14" s="4" t="s">
        <v>37</v>
      </c>
      <c r="J14" s="4" t="s">
        <v>37</v>
      </c>
      <c r="K14" s="4">
        <v>0</v>
      </c>
      <c r="L14" s="4" t="s">
        <v>37</v>
      </c>
      <c r="M14" s="4">
        <f t="shared" ref="M14" si="1">E14-K14</f>
        <v>500</v>
      </c>
    </row>
    <row r="15" spans="1:13" x14ac:dyDescent="0.25">
      <c r="A15" s="9" t="s">
        <v>227</v>
      </c>
      <c r="B15" s="9" t="s">
        <v>229</v>
      </c>
      <c r="C15" s="9" t="s">
        <v>27</v>
      </c>
      <c r="D15" s="9" t="s">
        <v>230</v>
      </c>
      <c r="E15" s="10">
        <v>500</v>
      </c>
      <c r="I15" s="10" t="s">
        <v>37</v>
      </c>
      <c r="J15" s="10" t="s">
        <v>37</v>
      </c>
      <c r="K15" s="10">
        <v>0</v>
      </c>
      <c r="L15" s="10" t="s">
        <v>37</v>
      </c>
      <c r="M15" s="10">
        <f t="shared" ref="M15" si="2">E15-K15</f>
        <v>500</v>
      </c>
    </row>
    <row r="16" spans="1:13" x14ac:dyDescent="0.25">
      <c r="A16" s="5" t="s">
        <v>227</v>
      </c>
      <c r="B16" s="5" t="s">
        <v>229</v>
      </c>
      <c r="C16" s="5" t="s">
        <v>27</v>
      </c>
      <c r="D16" s="5" t="s">
        <v>231</v>
      </c>
      <c r="E16" s="4">
        <v>550</v>
      </c>
      <c r="F16" s="5"/>
      <c r="G16" s="5"/>
      <c r="H16" s="5"/>
      <c r="I16" s="4" t="s">
        <v>37</v>
      </c>
      <c r="J16" s="4" t="s">
        <v>37</v>
      </c>
      <c r="K16" s="4">
        <v>0</v>
      </c>
      <c r="L16" s="4" t="s">
        <v>37</v>
      </c>
      <c r="M16" s="4">
        <f t="shared" ref="M16" si="3">E16-K16</f>
        <v>550</v>
      </c>
    </row>
    <row r="17" spans="1:13" x14ac:dyDescent="0.25">
      <c r="J17" s="10"/>
      <c r="L17" s="10"/>
    </row>
    <row r="18" spans="1:13" x14ac:dyDescent="0.25">
      <c r="J18" s="10"/>
      <c r="L18" s="10"/>
    </row>
    <row r="19" spans="1:13" x14ac:dyDescent="0.25">
      <c r="J19" s="10"/>
      <c r="L19" s="10"/>
    </row>
    <row r="20" spans="1:13" x14ac:dyDescent="0.25">
      <c r="J20" s="10"/>
      <c r="L20" s="10"/>
    </row>
    <row r="21" spans="1:13" x14ac:dyDescent="0.25">
      <c r="J21" s="10"/>
      <c r="L21" s="10"/>
    </row>
    <row r="22" spans="1:13" x14ac:dyDescent="0.25">
      <c r="J22" s="10"/>
      <c r="L22" s="10"/>
    </row>
    <row r="24" spans="1:13" s="11" customFormat="1" x14ac:dyDescent="0.25">
      <c r="A24" s="11" t="s">
        <v>204</v>
      </c>
      <c r="E24" s="12"/>
      <c r="I24" s="12"/>
      <c r="K24" s="12"/>
      <c r="M24" s="12"/>
    </row>
    <row r="26" spans="1:13" x14ac:dyDescent="0.25">
      <c r="A26" s="5" t="s">
        <v>203</v>
      </c>
      <c r="B26" s="5" t="s">
        <v>108</v>
      </c>
      <c r="C26" s="4">
        <v>900</v>
      </c>
      <c r="J26" s="10"/>
      <c r="L26" s="10"/>
    </row>
    <row r="27" spans="1:13" x14ac:dyDescent="0.25">
      <c r="A27" s="5" t="s">
        <v>203</v>
      </c>
      <c r="B27" s="5" t="s">
        <v>76</v>
      </c>
      <c r="C27" s="4">
        <v>500</v>
      </c>
    </row>
    <row r="28" spans="1:13" x14ac:dyDescent="0.25">
      <c r="A28" s="9" t="s">
        <v>205</v>
      </c>
      <c r="B28" s="9" t="s">
        <v>206</v>
      </c>
      <c r="C28" s="10">
        <v>7500</v>
      </c>
    </row>
    <row r="29" spans="1:13" x14ac:dyDescent="0.25">
      <c r="A29" s="9" t="s">
        <v>205</v>
      </c>
      <c r="B29" s="9" t="s">
        <v>207</v>
      </c>
      <c r="C29" s="10">
        <v>5000</v>
      </c>
    </row>
    <row r="30" spans="1:13" x14ac:dyDescent="0.25">
      <c r="A30" s="5" t="s">
        <v>208</v>
      </c>
      <c r="B30" s="5" t="s">
        <v>108</v>
      </c>
      <c r="C30" s="4">
        <v>900</v>
      </c>
    </row>
    <row r="31" spans="1:13" x14ac:dyDescent="0.25">
      <c r="A31" s="5" t="s">
        <v>208</v>
      </c>
      <c r="B31" s="5" t="s">
        <v>76</v>
      </c>
      <c r="C31" s="4">
        <v>500</v>
      </c>
    </row>
    <row r="32" spans="1:13" x14ac:dyDescent="0.25">
      <c r="A32" s="5" t="s">
        <v>209</v>
      </c>
      <c r="B32" s="5" t="s">
        <v>108</v>
      </c>
      <c r="C32" s="4">
        <v>900</v>
      </c>
    </row>
    <row r="33" spans="1:12" s="10" customFormat="1" x14ac:dyDescent="0.25">
      <c r="A33" s="5" t="s">
        <v>209</v>
      </c>
      <c r="B33" s="5" t="s">
        <v>76</v>
      </c>
      <c r="C33" s="4">
        <v>500</v>
      </c>
      <c r="D33" s="9"/>
      <c r="F33" s="9"/>
      <c r="G33" s="9"/>
      <c r="H33" s="9"/>
      <c r="J33" s="9"/>
      <c r="L33" s="9"/>
    </row>
    <row r="34" spans="1:12" s="10" customFormat="1" x14ac:dyDescent="0.25">
      <c r="A34" s="5" t="s">
        <v>210</v>
      </c>
      <c r="B34" s="5" t="s">
        <v>108</v>
      </c>
      <c r="C34" s="4">
        <v>900</v>
      </c>
      <c r="D34" s="9"/>
      <c r="F34" s="9"/>
      <c r="G34" s="9"/>
      <c r="H34" s="9"/>
      <c r="J34" s="9"/>
      <c r="L34" s="9"/>
    </row>
    <row r="35" spans="1:12" s="10" customFormat="1" x14ac:dyDescent="0.25">
      <c r="A35" s="5" t="s">
        <v>210</v>
      </c>
      <c r="B35" s="5" t="s">
        <v>76</v>
      </c>
      <c r="C35" s="4">
        <v>500</v>
      </c>
      <c r="D35" s="9"/>
      <c r="F35" s="9"/>
      <c r="G35" s="9"/>
      <c r="H35" s="9"/>
    </row>
    <row r="36" spans="1:12" s="10" customFormat="1" x14ac:dyDescent="0.25">
      <c r="A36" s="5" t="s">
        <v>210</v>
      </c>
      <c r="B36" s="5" t="s">
        <v>72</v>
      </c>
      <c r="C36" s="4">
        <v>600</v>
      </c>
      <c r="D36" s="9"/>
      <c r="F36" s="9"/>
      <c r="G36" s="9"/>
      <c r="H36" s="9"/>
    </row>
    <row r="37" spans="1:12" s="10" customFormat="1" x14ac:dyDescent="0.25">
      <c r="A37" s="5" t="s">
        <v>205</v>
      </c>
      <c r="B37" s="5" t="s">
        <v>211</v>
      </c>
      <c r="C37" s="4">
        <v>3000</v>
      </c>
      <c r="D37" s="9"/>
      <c r="F37" s="9"/>
      <c r="G37" s="9"/>
      <c r="H37" s="9"/>
    </row>
    <row r="38" spans="1:12" s="10" customFormat="1" x14ac:dyDescent="0.25">
      <c r="A38" s="9"/>
      <c r="B38" s="9"/>
      <c r="D38" s="9"/>
      <c r="F38" s="9"/>
      <c r="G38" s="9"/>
      <c r="H38" s="9"/>
      <c r="J38" s="9"/>
      <c r="L38" s="9"/>
    </row>
    <row r="39" spans="1:12" s="10" customFormat="1" x14ac:dyDescent="0.25">
      <c r="A39" s="9"/>
      <c r="B39" s="9"/>
      <c r="D39" s="9"/>
      <c r="F39" s="9"/>
      <c r="G39" s="9"/>
      <c r="H39" s="9"/>
    </row>
    <row r="40" spans="1:12" s="10" customFormat="1" x14ac:dyDescent="0.25">
      <c r="A40" s="9"/>
      <c r="B40" s="9"/>
      <c r="D40" s="9"/>
      <c r="F40" s="9"/>
      <c r="G40" s="9"/>
      <c r="H40" s="9"/>
    </row>
    <row r="41" spans="1:12" s="10" customFormat="1" x14ac:dyDescent="0.25">
      <c r="A41" s="9"/>
      <c r="B41" s="9"/>
      <c r="D41" s="9"/>
      <c r="F41" s="9"/>
      <c r="G41" s="9"/>
      <c r="H41" s="9"/>
    </row>
    <row r="42" spans="1:12" s="10" customFormat="1" x14ac:dyDescent="0.25">
      <c r="A42" s="9"/>
      <c r="B42" s="9"/>
      <c r="C42" s="9"/>
      <c r="D42" s="9"/>
      <c r="F42" s="9"/>
      <c r="G42" s="9"/>
      <c r="H42" s="9"/>
    </row>
    <row r="43" spans="1:12" s="10" customFormat="1" x14ac:dyDescent="0.25"/>
    <row r="44" spans="1:12" s="10" customFormat="1" x14ac:dyDescent="0.25"/>
    <row r="45" spans="1:12" s="10" customFormat="1" x14ac:dyDescent="0.25"/>
    <row r="46" spans="1:12" s="10" customFormat="1" x14ac:dyDescent="0.25"/>
    <row r="47" spans="1:12" s="10" customFormat="1" x14ac:dyDescent="0.25"/>
    <row r="48" spans="1:12" s="10" customFormat="1" x14ac:dyDescent="0.25"/>
    <row r="49" spans="1:13" x14ac:dyDescent="0.25">
      <c r="A49" s="10"/>
      <c r="B49" s="10"/>
      <c r="C49" s="10"/>
      <c r="D49" s="10"/>
      <c r="F49" s="10"/>
      <c r="G49" s="10"/>
      <c r="H49" s="10"/>
      <c r="J49" s="10"/>
      <c r="L49" s="10"/>
    </row>
    <row r="50" spans="1:13" x14ac:dyDescent="0.25">
      <c r="A50" s="10"/>
      <c r="B50" s="10"/>
      <c r="C50" s="10"/>
      <c r="D50" s="10"/>
      <c r="F50" s="10"/>
      <c r="G50" s="10"/>
      <c r="H50" s="10"/>
    </row>
    <row r="51" spans="1:13" x14ac:dyDescent="0.25">
      <c r="A51" s="10" t="s">
        <v>157</v>
      </c>
      <c r="B51" s="10" t="s">
        <v>96</v>
      </c>
      <c r="C51" s="10">
        <v>6000</v>
      </c>
      <c r="D51" s="10"/>
      <c r="F51" s="10"/>
      <c r="G51" s="10"/>
      <c r="H51" s="10"/>
    </row>
    <row r="52" spans="1:13" x14ac:dyDescent="0.25">
      <c r="A52" s="10" t="s">
        <v>157</v>
      </c>
      <c r="B52" s="10" t="s">
        <v>21</v>
      </c>
      <c r="C52" s="10">
        <v>3500</v>
      </c>
      <c r="D52" s="10"/>
      <c r="F52" s="10"/>
      <c r="G52" s="10"/>
      <c r="H52" s="10"/>
    </row>
    <row r="53" spans="1:13" x14ac:dyDescent="0.25">
      <c r="A53" s="10" t="s">
        <v>158</v>
      </c>
      <c r="B53" s="10" t="s">
        <v>20</v>
      </c>
      <c r="C53" s="10">
        <v>2000</v>
      </c>
      <c r="D53" s="10"/>
      <c r="F53" s="10"/>
      <c r="G53" s="10"/>
      <c r="H53" s="10"/>
    </row>
    <row r="54" spans="1:13" x14ac:dyDescent="0.25">
      <c r="A54" s="10" t="s">
        <v>158</v>
      </c>
      <c r="B54" s="10" t="s">
        <v>98</v>
      </c>
      <c r="C54" s="10">
        <v>550</v>
      </c>
      <c r="D54" s="10"/>
      <c r="F54" s="10"/>
      <c r="G54" s="10"/>
      <c r="H54" s="10"/>
    </row>
    <row r="55" spans="1:13" x14ac:dyDescent="0.25">
      <c r="A55" s="10"/>
      <c r="B55" s="10"/>
      <c r="C55" s="10"/>
      <c r="D55" s="10"/>
      <c r="F55" s="10"/>
      <c r="G55" s="10"/>
      <c r="H55" s="10"/>
    </row>
    <row r="56" spans="1:13" x14ac:dyDescent="0.25">
      <c r="A56" s="10"/>
      <c r="B56" s="10"/>
      <c r="C56" s="10"/>
      <c r="D56" s="10"/>
      <c r="F56" s="10"/>
      <c r="G56" s="10"/>
      <c r="H56" s="10"/>
    </row>
    <row r="57" spans="1:13" x14ac:dyDescent="0.25">
      <c r="A57" s="10"/>
      <c r="B57" s="10"/>
      <c r="C57" s="10"/>
      <c r="D57" s="10"/>
      <c r="F57" s="10"/>
      <c r="G57" s="10"/>
      <c r="H57" s="10"/>
    </row>
    <row r="58" spans="1:13" x14ac:dyDescent="0.25">
      <c r="A58" s="10"/>
      <c r="B58" s="10"/>
      <c r="C58" s="10"/>
      <c r="D58" s="10"/>
      <c r="F58" s="10"/>
      <c r="G58" s="10"/>
      <c r="H58" s="10"/>
    </row>
    <row r="59" spans="1:13" x14ac:dyDescent="0.25">
      <c r="A59" s="10"/>
      <c r="B59" s="10"/>
      <c r="C59" s="10"/>
      <c r="D59" s="10"/>
      <c r="F59" s="10"/>
      <c r="G59" s="10"/>
      <c r="H59" s="10"/>
    </row>
    <row r="60" spans="1:13" x14ac:dyDescent="0.25">
      <c r="A60" s="10"/>
      <c r="B60" s="10"/>
      <c r="C60" s="10"/>
      <c r="D60" s="10"/>
      <c r="F60" s="10"/>
      <c r="G60" s="10"/>
      <c r="H60" s="10"/>
    </row>
    <row r="61" spans="1:13" x14ac:dyDescent="0.25">
      <c r="A61" s="10"/>
      <c r="B61" s="10"/>
      <c r="C61" s="10"/>
      <c r="D61" s="10"/>
      <c r="F61" s="10"/>
      <c r="G61" s="10"/>
      <c r="H61" s="10"/>
    </row>
    <row r="62" spans="1:13" x14ac:dyDescent="0.25">
      <c r="A62" s="10"/>
      <c r="B62" s="10"/>
      <c r="C62" s="10"/>
      <c r="D62" s="10"/>
      <c r="F62" s="10"/>
      <c r="G62" s="10"/>
      <c r="H62" s="10"/>
    </row>
    <row r="63" spans="1:13" x14ac:dyDescent="0.25">
      <c r="A63" s="10"/>
      <c r="B63" s="10"/>
      <c r="C63" s="10"/>
      <c r="D63" s="10"/>
      <c r="F63" s="10"/>
      <c r="G63" s="10"/>
      <c r="H63" s="10"/>
    </row>
    <row r="64" spans="1:13" s="11" customFormat="1" x14ac:dyDescent="0.25">
      <c r="A64" s="11" t="s">
        <v>101</v>
      </c>
      <c r="C64" s="12"/>
      <c r="E64" s="12"/>
      <c r="I64" s="12"/>
      <c r="K64" s="12"/>
      <c r="M64" s="12"/>
    </row>
    <row r="65" spans="1:5" x14ac:dyDescent="0.25">
      <c r="C65" s="10"/>
    </row>
    <row r="66" spans="1:5" x14ac:dyDescent="0.25">
      <c r="A66" s="13"/>
      <c r="C66" s="10"/>
    </row>
    <row r="67" spans="1:5" x14ac:dyDescent="0.25">
      <c r="A67" s="9" t="s">
        <v>99</v>
      </c>
      <c r="B67" s="9" t="s">
        <v>102</v>
      </c>
      <c r="C67" s="10"/>
      <c r="E67" s="10">
        <v>200</v>
      </c>
    </row>
    <row r="68" spans="1:5" x14ac:dyDescent="0.25">
      <c r="C68" s="10"/>
    </row>
    <row r="69" spans="1:5" x14ac:dyDescent="0.25">
      <c r="C69" s="10"/>
    </row>
    <row r="70" spans="1:5" x14ac:dyDescent="0.25">
      <c r="C70" s="10"/>
    </row>
    <row r="71" spans="1:5" x14ac:dyDescent="0.25">
      <c r="C71" s="10"/>
    </row>
    <row r="72" spans="1:5" x14ac:dyDescent="0.25">
      <c r="C72" s="10"/>
    </row>
    <row r="73" spans="1:5" x14ac:dyDescent="0.25">
      <c r="C73" s="10"/>
    </row>
    <row r="74" spans="1:5" x14ac:dyDescent="0.25">
      <c r="C74" s="10"/>
    </row>
    <row r="75" spans="1:5" x14ac:dyDescent="0.25">
      <c r="C75" s="10"/>
    </row>
    <row r="76" spans="1:5" x14ac:dyDescent="0.25">
      <c r="C76" s="10"/>
    </row>
    <row r="77" spans="1:5" x14ac:dyDescent="0.25">
      <c r="C77" s="10"/>
    </row>
    <row r="78" spans="1:5" x14ac:dyDescent="0.25">
      <c r="C78" s="10"/>
    </row>
    <row r="79" spans="1:5" x14ac:dyDescent="0.25">
      <c r="C79" s="10"/>
    </row>
    <row r="80" spans="1:5" x14ac:dyDescent="0.25">
      <c r="C80" s="10"/>
    </row>
    <row r="81" spans="3:3" x14ac:dyDescent="0.25">
      <c r="C81" s="10"/>
    </row>
    <row r="82" spans="3:3" x14ac:dyDescent="0.25">
      <c r="C82" s="1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M84"/>
  <sheetViews>
    <sheetView workbookViewId="0">
      <pane ySplit="3" topLeftCell="A4" activePane="bottomLeft" state="frozen"/>
      <selection activeCell="B1" sqref="B1"/>
      <selection pane="bottomLeft" activeCell="E4" sqref="E4:E13"/>
    </sheetView>
  </sheetViews>
  <sheetFormatPr baseColWidth="10" defaultColWidth="10.7109375" defaultRowHeight="15" x14ac:dyDescent="0.25"/>
  <cols>
    <col min="1" max="1" width="22.7109375" style="9" customWidth="1"/>
    <col min="2" max="2" width="51" style="9" customWidth="1"/>
    <col min="3" max="3" width="39.85546875" style="9" customWidth="1"/>
    <col min="4" max="4" width="43.28515625" style="9" customWidth="1"/>
    <col min="5" max="5" width="10.7109375" style="10"/>
    <col min="6" max="8" width="10.7109375" style="9"/>
    <col min="9" max="9" width="42.42578125" style="10" customWidth="1"/>
    <col min="10" max="10" width="31.85546875" style="9" customWidth="1"/>
    <col min="11" max="11" width="18" style="10" customWidth="1"/>
    <col min="12" max="12" width="24.5703125" style="9" customWidth="1"/>
    <col min="13" max="13" width="19.28515625" style="10" customWidth="1"/>
    <col min="14" max="16384" width="10.7109375" style="9"/>
  </cols>
  <sheetData>
    <row r="1" spans="1:13" s="11" customFormat="1" x14ac:dyDescent="0.25">
      <c r="A1" s="11" t="s">
        <v>0</v>
      </c>
      <c r="E1" s="12"/>
      <c r="I1" s="12"/>
      <c r="K1" s="12"/>
      <c r="M1" s="12"/>
    </row>
    <row r="3" spans="1:13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I3" s="12" t="s">
        <v>11</v>
      </c>
      <c r="J3" s="11" t="s">
        <v>8</v>
      </c>
      <c r="K3" s="12" t="s">
        <v>9</v>
      </c>
      <c r="L3" s="11" t="s">
        <v>64</v>
      </c>
      <c r="M3" s="12" t="s">
        <v>13</v>
      </c>
    </row>
    <row r="4" spans="1:13" x14ac:dyDescent="0.25">
      <c r="A4" s="15" t="s">
        <v>232</v>
      </c>
      <c r="B4" s="5" t="s">
        <v>233</v>
      </c>
      <c r="C4" s="5" t="s">
        <v>16</v>
      </c>
      <c r="D4" s="5" t="s">
        <v>234</v>
      </c>
      <c r="E4" s="4">
        <v>650</v>
      </c>
      <c r="F4" s="5"/>
      <c r="G4" s="5"/>
      <c r="H4" s="5"/>
      <c r="I4" s="4" t="s">
        <v>235</v>
      </c>
      <c r="J4" s="4" t="s">
        <v>232</v>
      </c>
      <c r="K4" s="4">
        <v>300</v>
      </c>
      <c r="L4" s="4" t="s">
        <v>66</v>
      </c>
      <c r="M4" s="4">
        <f>E4-K4</f>
        <v>350</v>
      </c>
    </row>
    <row r="5" spans="1:13" x14ac:dyDescent="0.25">
      <c r="A5" s="15" t="s">
        <v>232</v>
      </c>
      <c r="B5" s="5" t="s">
        <v>122</v>
      </c>
      <c r="C5" s="5" t="s">
        <v>7</v>
      </c>
      <c r="D5" s="5" t="s">
        <v>33</v>
      </c>
      <c r="E5" s="4">
        <v>1450</v>
      </c>
      <c r="F5" s="5"/>
      <c r="G5" s="5"/>
      <c r="H5" s="5"/>
      <c r="I5" s="4" t="s">
        <v>75</v>
      </c>
      <c r="J5" s="4" t="s">
        <v>232</v>
      </c>
      <c r="K5" s="4">
        <v>400</v>
      </c>
      <c r="L5" s="4" t="s">
        <v>66</v>
      </c>
      <c r="M5" s="4">
        <f>E5-K5</f>
        <v>1050</v>
      </c>
    </row>
    <row r="6" spans="1:13" x14ac:dyDescent="0.25">
      <c r="A6" s="15" t="s">
        <v>232</v>
      </c>
      <c r="B6" s="5" t="s">
        <v>242</v>
      </c>
      <c r="C6" s="5" t="s">
        <v>16</v>
      </c>
      <c r="D6" s="5" t="s">
        <v>234</v>
      </c>
      <c r="E6" s="4">
        <v>750</v>
      </c>
      <c r="F6" s="5"/>
      <c r="G6" s="5"/>
      <c r="H6" s="5"/>
      <c r="I6" s="4" t="s">
        <v>37</v>
      </c>
      <c r="J6" s="4" t="s">
        <v>37</v>
      </c>
      <c r="K6" s="4" t="s">
        <v>37</v>
      </c>
      <c r="L6" s="4" t="s">
        <v>37</v>
      </c>
      <c r="M6" s="4">
        <f>E6</f>
        <v>750</v>
      </c>
    </row>
    <row r="7" spans="1:13" x14ac:dyDescent="0.25">
      <c r="A7" s="15" t="s">
        <v>244</v>
      </c>
      <c r="B7" s="5" t="s">
        <v>242</v>
      </c>
      <c r="C7" s="5" t="s">
        <v>7</v>
      </c>
      <c r="D7" s="5" t="s">
        <v>33</v>
      </c>
      <c r="E7" s="4">
        <v>850</v>
      </c>
      <c r="F7" s="5"/>
      <c r="G7" s="5"/>
      <c r="H7" s="5"/>
      <c r="I7" s="4" t="s">
        <v>37</v>
      </c>
      <c r="J7" s="4" t="s">
        <v>37</v>
      </c>
      <c r="K7" s="4" t="s">
        <v>37</v>
      </c>
      <c r="L7" s="4" t="s">
        <v>37</v>
      </c>
      <c r="M7" s="4">
        <f>E7</f>
        <v>850</v>
      </c>
    </row>
    <row r="8" spans="1:13" x14ac:dyDescent="0.25">
      <c r="A8" s="15" t="s">
        <v>244</v>
      </c>
      <c r="B8" s="5" t="s">
        <v>245</v>
      </c>
      <c r="C8" s="5" t="s">
        <v>7</v>
      </c>
      <c r="D8" s="5" t="s">
        <v>33</v>
      </c>
      <c r="E8" s="4">
        <v>2000</v>
      </c>
      <c r="F8" s="5"/>
      <c r="G8" s="5"/>
      <c r="H8" s="5"/>
      <c r="I8" s="4" t="s">
        <v>246</v>
      </c>
      <c r="J8" s="4" t="s">
        <v>247</v>
      </c>
      <c r="K8" s="4">
        <v>990</v>
      </c>
      <c r="L8" s="4" t="s">
        <v>83</v>
      </c>
      <c r="M8" s="4">
        <f>E8-K8</f>
        <v>1010</v>
      </c>
    </row>
    <row r="9" spans="1:13" x14ac:dyDescent="0.25">
      <c r="A9" s="15" t="s">
        <v>248</v>
      </c>
      <c r="B9" s="5" t="s">
        <v>242</v>
      </c>
      <c r="C9" s="5" t="s">
        <v>16</v>
      </c>
      <c r="D9" s="5" t="s">
        <v>249</v>
      </c>
      <c r="E9" s="4">
        <v>550</v>
      </c>
      <c r="F9" s="5"/>
      <c r="G9" s="5"/>
      <c r="H9" s="5"/>
      <c r="I9" s="4" t="s">
        <v>37</v>
      </c>
      <c r="J9" s="4" t="s">
        <v>37</v>
      </c>
      <c r="K9" s="4" t="s">
        <v>37</v>
      </c>
      <c r="L9" s="4" t="s">
        <v>37</v>
      </c>
      <c r="M9" s="4">
        <f>E9</f>
        <v>550</v>
      </c>
    </row>
    <row r="10" spans="1:13" x14ac:dyDescent="0.25">
      <c r="A10" s="15" t="s">
        <v>250</v>
      </c>
      <c r="B10" s="5" t="s">
        <v>251</v>
      </c>
      <c r="C10" s="5" t="s">
        <v>16</v>
      </c>
      <c r="D10" s="5" t="s">
        <v>252</v>
      </c>
      <c r="E10" s="4">
        <v>5300</v>
      </c>
      <c r="F10" s="5"/>
      <c r="G10" s="5"/>
      <c r="H10" s="5"/>
      <c r="I10" s="4" t="s">
        <v>253</v>
      </c>
      <c r="J10" s="4" t="s">
        <v>250</v>
      </c>
      <c r="K10" s="4">
        <v>2950</v>
      </c>
      <c r="L10" s="4" t="s">
        <v>261</v>
      </c>
      <c r="M10" s="4">
        <f t="shared" ref="M10:M13" si="0">E10-K10</f>
        <v>2350</v>
      </c>
    </row>
    <row r="11" spans="1:13" x14ac:dyDescent="0.25">
      <c r="A11" s="15" t="s">
        <v>254</v>
      </c>
      <c r="B11" s="5" t="s">
        <v>255</v>
      </c>
      <c r="C11" s="5" t="s">
        <v>27</v>
      </c>
      <c r="D11" s="5" t="s">
        <v>252</v>
      </c>
      <c r="E11" s="4">
        <f>1950+650</f>
        <v>2600</v>
      </c>
      <c r="F11" s="5"/>
      <c r="G11" s="5"/>
      <c r="H11" s="5"/>
      <c r="I11" s="4" t="s">
        <v>256</v>
      </c>
      <c r="J11" s="4" t="s">
        <v>241</v>
      </c>
      <c r="K11" s="4">
        <v>1371</v>
      </c>
      <c r="L11" s="4" t="s">
        <v>261</v>
      </c>
      <c r="M11" s="4">
        <f t="shared" si="0"/>
        <v>1229</v>
      </c>
    </row>
    <row r="12" spans="1:13" x14ac:dyDescent="0.25">
      <c r="A12" s="15" t="s">
        <v>254</v>
      </c>
      <c r="B12" s="5" t="s">
        <v>257</v>
      </c>
      <c r="C12" s="5" t="s">
        <v>27</v>
      </c>
      <c r="D12" s="5" t="s">
        <v>252</v>
      </c>
      <c r="E12" s="4">
        <f>1850+350</f>
        <v>2200</v>
      </c>
      <c r="F12" s="5"/>
      <c r="G12" s="5"/>
      <c r="H12" s="5"/>
      <c r="I12" s="4" t="s">
        <v>258</v>
      </c>
      <c r="J12" s="4" t="s">
        <v>241</v>
      </c>
      <c r="K12" s="4">
        <v>400</v>
      </c>
      <c r="L12" s="4" t="s">
        <v>261</v>
      </c>
      <c r="M12" s="4">
        <f t="shared" si="0"/>
        <v>1800</v>
      </c>
    </row>
    <row r="13" spans="1:13" x14ac:dyDescent="0.25">
      <c r="A13" s="5" t="s">
        <v>254</v>
      </c>
      <c r="B13" s="5" t="s">
        <v>260</v>
      </c>
      <c r="C13" s="5" t="s">
        <v>27</v>
      </c>
      <c r="D13" s="5" t="s">
        <v>252</v>
      </c>
      <c r="E13" s="4">
        <v>5600</v>
      </c>
      <c r="F13" s="5"/>
      <c r="G13" s="5"/>
      <c r="H13" s="5"/>
      <c r="I13" s="4" t="s">
        <v>253</v>
      </c>
      <c r="J13" s="4" t="s">
        <v>254</v>
      </c>
      <c r="K13" s="4">
        <v>2950</v>
      </c>
      <c r="L13" s="4" t="s">
        <v>261</v>
      </c>
      <c r="M13" s="4">
        <f t="shared" si="0"/>
        <v>2650</v>
      </c>
    </row>
    <row r="14" spans="1:13" x14ac:dyDescent="0.25">
      <c r="J14" s="10"/>
      <c r="L14" s="10"/>
    </row>
    <row r="15" spans="1:13" x14ac:dyDescent="0.25">
      <c r="J15" s="10"/>
      <c r="L15" s="10"/>
    </row>
    <row r="16" spans="1:13" x14ac:dyDescent="0.25">
      <c r="J16" s="10"/>
      <c r="L16" s="10"/>
    </row>
    <row r="17" spans="1:13" x14ac:dyDescent="0.25">
      <c r="J17" s="10"/>
      <c r="L17" s="10"/>
    </row>
    <row r="18" spans="1:13" x14ac:dyDescent="0.25">
      <c r="J18" s="10"/>
      <c r="L18" s="10"/>
    </row>
    <row r="19" spans="1:13" x14ac:dyDescent="0.25">
      <c r="J19" s="10"/>
      <c r="L19" s="10"/>
    </row>
    <row r="20" spans="1:13" x14ac:dyDescent="0.25">
      <c r="J20" s="10"/>
      <c r="L20" s="10"/>
    </row>
    <row r="21" spans="1:13" x14ac:dyDescent="0.25">
      <c r="E21" s="10" t="s">
        <v>267</v>
      </c>
      <c r="H21" s="16">
        <f>SUM(E10:E13)</f>
        <v>15700</v>
      </c>
      <c r="J21" s="10"/>
      <c r="L21" s="10"/>
    </row>
    <row r="23" spans="1:13" s="11" customFormat="1" x14ac:dyDescent="0.25">
      <c r="A23" s="11" t="s">
        <v>273</v>
      </c>
      <c r="E23" s="12" t="s">
        <v>268</v>
      </c>
      <c r="H23" s="17">
        <f>SUM(K10:K13)</f>
        <v>7671</v>
      </c>
      <c r="I23" s="12"/>
      <c r="K23" s="12"/>
      <c r="M23" s="12"/>
    </row>
    <row r="24" spans="1:13" x14ac:dyDescent="0.25">
      <c r="E24" s="10" t="s">
        <v>269</v>
      </c>
      <c r="H24" s="16">
        <f>C40</f>
        <v>802.90000000000009</v>
      </c>
    </row>
    <row r="25" spans="1:13" x14ac:dyDescent="0.25">
      <c r="A25" s="5" t="s">
        <v>210</v>
      </c>
      <c r="B25" s="5" t="s">
        <v>108</v>
      </c>
      <c r="C25" s="4">
        <v>900</v>
      </c>
      <c r="J25" s="10"/>
      <c r="L25" s="10"/>
    </row>
    <row r="26" spans="1:13" x14ac:dyDescent="0.25">
      <c r="A26" s="5" t="s">
        <v>210</v>
      </c>
      <c r="B26" s="5" t="s">
        <v>76</v>
      </c>
      <c r="C26" s="4">
        <v>500</v>
      </c>
      <c r="E26" s="10" t="s">
        <v>270</v>
      </c>
      <c r="H26" s="16">
        <f>H23+H24</f>
        <v>8473.9</v>
      </c>
    </row>
    <row r="27" spans="1:13" x14ac:dyDescent="0.25">
      <c r="A27" s="5" t="s">
        <v>236</v>
      </c>
      <c r="B27" s="5" t="s">
        <v>206</v>
      </c>
      <c r="C27" s="4">
        <v>8000</v>
      </c>
    </row>
    <row r="28" spans="1:13" x14ac:dyDescent="0.25">
      <c r="A28" s="9" t="s">
        <v>236</v>
      </c>
      <c r="B28" s="9" t="s">
        <v>237</v>
      </c>
      <c r="C28" s="10">
        <v>3000</v>
      </c>
      <c r="E28" s="10" t="s">
        <v>271</v>
      </c>
      <c r="H28" s="16">
        <f>H21-H26</f>
        <v>7226.1</v>
      </c>
    </row>
    <row r="29" spans="1:13" x14ac:dyDescent="0.25">
      <c r="A29" s="5" t="s">
        <v>236</v>
      </c>
      <c r="B29" s="5" t="s">
        <v>87</v>
      </c>
      <c r="C29" s="4">
        <f>4500-3000</f>
        <v>1500</v>
      </c>
      <c r="H29" s="16"/>
    </row>
    <row r="30" spans="1:13" x14ac:dyDescent="0.25">
      <c r="A30" s="5" t="s">
        <v>236</v>
      </c>
      <c r="B30" s="5" t="s">
        <v>72</v>
      </c>
      <c r="C30" s="4">
        <v>600</v>
      </c>
    </row>
    <row r="31" spans="1:13" x14ac:dyDescent="0.25">
      <c r="A31" s="9" t="s">
        <v>236</v>
      </c>
      <c r="B31" s="9" t="s">
        <v>243</v>
      </c>
      <c r="C31" s="10">
        <v>2000</v>
      </c>
    </row>
    <row r="32" spans="1:13" x14ac:dyDescent="0.25">
      <c r="A32" s="5" t="s">
        <v>238</v>
      </c>
      <c r="B32" s="5" t="s">
        <v>108</v>
      </c>
      <c r="C32" s="4">
        <v>900</v>
      </c>
    </row>
    <row r="33" spans="1:12" x14ac:dyDescent="0.25">
      <c r="A33" s="5" t="s">
        <v>238</v>
      </c>
      <c r="B33" s="5" t="s">
        <v>76</v>
      </c>
      <c r="C33" s="4">
        <v>500</v>
      </c>
    </row>
    <row r="34" spans="1:12" x14ac:dyDescent="0.25">
      <c r="A34" s="5" t="s">
        <v>239</v>
      </c>
      <c r="B34" s="5" t="s">
        <v>108</v>
      </c>
      <c r="C34" s="4">
        <v>900</v>
      </c>
    </row>
    <row r="35" spans="1:12" s="10" customFormat="1" x14ac:dyDescent="0.25">
      <c r="A35" s="5" t="s">
        <v>239</v>
      </c>
      <c r="B35" s="5" t="s">
        <v>76</v>
      </c>
      <c r="C35" s="4">
        <v>500</v>
      </c>
      <c r="D35" s="9"/>
      <c r="F35" s="9"/>
      <c r="G35" s="9"/>
      <c r="H35" s="9"/>
      <c r="J35" s="9"/>
      <c r="L35" s="9"/>
    </row>
    <row r="36" spans="1:12" s="10" customFormat="1" x14ac:dyDescent="0.25">
      <c r="A36" s="5" t="s">
        <v>240</v>
      </c>
      <c r="B36" s="5" t="s">
        <v>108</v>
      </c>
      <c r="C36" s="4">
        <v>900</v>
      </c>
      <c r="D36" s="9"/>
      <c r="F36" s="9"/>
      <c r="G36" s="9"/>
      <c r="H36" s="9"/>
      <c r="J36" s="9"/>
      <c r="L36" s="9"/>
    </row>
    <row r="37" spans="1:12" s="10" customFormat="1" x14ac:dyDescent="0.25">
      <c r="A37" s="5" t="s">
        <v>240</v>
      </c>
      <c r="B37" s="5" t="s">
        <v>76</v>
      </c>
      <c r="C37" s="4">
        <v>500</v>
      </c>
      <c r="D37" s="9"/>
      <c r="F37" s="9"/>
      <c r="G37" s="9"/>
      <c r="H37" s="9"/>
    </row>
    <row r="38" spans="1:12" s="10" customFormat="1" x14ac:dyDescent="0.25">
      <c r="A38" s="5" t="s">
        <v>241</v>
      </c>
      <c r="B38" s="5" t="s">
        <v>108</v>
      </c>
      <c r="C38" s="4">
        <v>900</v>
      </c>
      <c r="D38" s="9"/>
      <c r="F38" s="9"/>
      <c r="G38" s="9"/>
      <c r="H38" s="9"/>
    </row>
    <row r="39" spans="1:12" s="10" customFormat="1" x14ac:dyDescent="0.25">
      <c r="A39" s="5" t="s">
        <v>241</v>
      </c>
      <c r="B39" s="5" t="s">
        <v>76</v>
      </c>
      <c r="C39" s="4">
        <v>500</v>
      </c>
      <c r="D39" s="9"/>
      <c r="F39" s="9"/>
      <c r="G39" s="9"/>
      <c r="H39" s="9"/>
    </row>
    <row r="40" spans="1:12" s="10" customFormat="1" x14ac:dyDescent="0.25">
      <c r="A40" s="9" t="s">
        <v>254</v>
      </c>
      <c r="B40" s="9" t="s">
        <v>259</v>
      </c>
      <c r="C40" s="10">
        <f>SUM(M10+M11+M12+M13)*0.1</f>
        <v>802.90000000000009</v>
      </c>
      <c r="D40" s="9"/>
      <c r="F40" s="9"/>
      <c r="G40" s="9"/>
      <c r="H40" s="9"/>
      <c r="J40" s="9"/>
      <c r="L40" s="9"/>
    </row>
    <row r="41" spans="1:12" s="10" customFormat="1" x14ac:dyDescent="0.25">
      <c r="A41" s="9"/>
      <c r="B41" s="9"/>
      <c r="D41" s="9"/>
      <c r="F41" s="9"/>
      <c r="G41" s="9"/>
      <c r="H41" s="9"/>
    </row>
    <row r="42" spans="1:12" s="10" customFormat="1" x14ac:dyDescent="0.25">
      <c r="A42" s="9"/>
      <c r="B42" s="9"/>
      <c r="D42" s="9"/>
      <c r="F42" s="9"/>
      <c r="G42" s="9"/>
      <c r="H42" s="9"/>
    </row>
    <row r="43" spans="1:12" s="10" customFormat="1" x14ac:dyDescent="0.25">
      <c r="A43" s="9"/>
      <c r="B43" s="9"/>
      <c r="D43" s="9"/>
      <c r="F43" s="9"/>
      <c r="G43" s="9"/>
      <c r="H43" s="9"/>
    </row>
    <row r="44" spans="1:12" s="10" customFormat="1" x14ac:dyDescent="0.25">
      <c r="A44" s="9"/>
      <c r="B44" s="9"/>
      <c r="C44" s="9"/>
      <c r="D44" s="9"/>
      <c r="F44" s="9"/>
      <c r="G44" s="9"/>
      <c r="H44" s="9"/>
    </row>
    <row r="45" spans="1:12" s="10" customFormat="1" x14ac:dyDescent="0.25"/>
    <row r="46" spans="1:12" s="10" customFormat="1" x14ac:dyDescent="0.25"/>
    <row r="47" spans="1:12" s="10" customFormat="1" x14ac:dyDescent="0.25"/>
    <row r="48" spans="1:12" s="10" customFormat="1" x14ac:dyDescent="0.25"/>
    <row r="49" spans="1:12" s="10" customFormat="1" x14ac:dyDescent="0.25"/>
    <row r="50" spans="1:12" s="10" customFormat="1" x14ac:dyDescent="0.25"/>
    <row r="51" spans="1:12" x14ac:dyDescent="0.25">
      <c r="A51" s="10"/>
      <c r="B51" s="10"/>
      <c r="C51" s="10"/>
      <c r="D51" s="10"/>
      <c r="F51" s="10"/>
      <c r="G51" s="10"/>
      <c r="H51" s="10"/>
      <c r="J51" s="10"/>
      <c r="L51" s="10"/>
    </row>
    <row r="52" spans="1:12" x14ac:dyDescent="0.25">
      <c r="A52" s="10"/>
      <c r="B52" s="10"/>
      <c r="C52" s="10"/>
      <c r="D52" s="10"/>
      <c r="F52" s="10"/>
      <c r="G52" s="10"/>
      <c r="H52" s="10"/>
    </row>
    <row r="53" spans="1:12" x14ac:dyDescent="0.25">
      <c r="A53" s="10"/>
      <c r="B53" s="10"/>
      <c r="C53" s="10"/>
      <c r="D53" s="10"/>
      <c r="F53" s="10"/>
      <c r="G53" s="10"/>
      <c r="H53" s="10"/>
    </row>
    <row r="54" spans="1:12" x14ac:dyDescent="0.25">
      <c r="A54" s="10"/>
      <c r="B54" s="10"/>
      <c r="C54" s="10"/>
      <c r="D54" s="10"/>
      <c r="F54" s="10"/>
      <c r="G54" s="10"/>
      <c r="H54" s="10"/>
    </row>
    <row r="55" spans="1:12" x14ac:dyDescent="0.25">
      <c r="A55" s="10"/>
      <c r="B55" s="10"/>
      <c r="C55" s="10"/>
      <c r="D55" s="10"/>
      <c r="F55" s="10"/>
      <c r="G55" s="10"/>
      <c r="H55" s="10"/>
    </row>
    <row r="56" spans="1:12" x14ac:dyDescent="0.25">
      <c r="A56" s="10"/>
      <c r="B56" s="10"/>
      <c r="C56" s="10"/>
      <c r="D56" s="10"/>
      <c r="F56" s="10"/>
      <c r="G56" s="10"/>
      <c r="H56" s="10"/>
    </row>
    <row r="57" spans="1:12" x14ac:dyDescent="0.25">
      <c r="A57" s="10"/>
      <c r="B57" s="10"/>
      <c r="C57" s="10"/>
      <c r="D57" s="10"/>
      <c r="F57" s="10"/>
      <c r="G57" s="10"/>
      <c r="H57" s="10"/>
    </row>
    <row r="58" spans="1:12" x14ac:dyDescent="0.25">
      <c r="A58" s="10"/>
      <c r="B58" s="10"/>
      <c r="C58" s="10"/>
      <c r="D58" s="10"/>
      <c r="F58" s="10"/>
      <c r="G58" s="10"/>
      <c r="H58" s="10"/>
    </row>
    <row r="59" spans="1:12" x14ac:dyDescent="0.25">
      <c r="A59" s="10"/>
      <c r="B59" s="10"/>
      <c r="C59" s="10"/>
      <c r="D59" s="10"/>
      <c r="F59" s="10"/>
      <c r="G59" s="10"/>
      <c r="H59" s="10"/>
    </row>
    <row r="60" spans="1:12" x14ac:dyDescent="0.25">
      <c r="A60" s="10"/>
      <c r="B60" s="10"/>
      <c r="C60" s="10"/>
      <c r="D60" s="10"/>
      <c r="F60" s="10"/>
      <c r="G60" s="10"/>
      <c r="H60" s="10"/>
    </row>
    <row r="61" spans="1:12" x14ac:dyDescent="0.25">
      <c r="A61" s="10"/>
      <c r="B61" s="10"/>
      <c r="C61" s="10"/>
      <c r="D61" s="10"/>
      <c r="F61" s="10"/>
      <c r="G61" s="10"/>
      <c r="H61" s="10"/>
    </row>
    <row r="62" spans="1:12" x14ac:dyDescent="0.25">
      <c r="A62" s="10"/>
      <c r="B62" s="10"/>
      <c r="C62" s="10"/>
      <c r="D62" s="10"/>
      <c r="F62" s="10"/>
      <c r="G62" s="10"/>
      <c r="H62" s="10"/>
    </row>
    <row r="63" spans="1:12" x14ac:dyDescent="0.25">
      <c r="A63" s="10"/>
      <c r="B63" s="10"/>
      <c r="C63" s="10"/>
      <c r="D63" s="10"/>
      <c r="F63" s="10"/>
      <c r="G63" s="10"/>
      <c r="H63" s="10"/>
    </row>
    <row r="64" spans="1:12" x14ac:dyDescent="0.25">
      <c r="A64" s="10"/>
      <c r="B64" s="10"/>
      <c r="C64" s="10"/>
      <c r="D64" s="10"/>
      <c r="F64" s="10"/>
      <c r="G64" s="10"/>
      <c r="H64" s="10"/>
    </row>
    <row r="65" spans="1:13" x14ac:dyDescent="0.25">
      <c r="A65" s="10"/>
      <c r="B65" s="10"/>
      <c r="C65" s="10"/>
      <c r="D65" s="10"/>
      <c r="F65" s="10"/>
      <c r="G65" s="10"/>
      <c r="H65" s="10"/>
    </row>
    <row r="66" spans="1:13" s="11" customFormat="1" x14ac:dyDescent="0.25">
      <c r="C66" s="12"/>
      <c r="E66" s="12"/>
      <c r="I66" s="12"/>
      <c r="K66" s="12"/>
      <c r="M66" s="12"/>
    </row>
    <row r="67" spans="1:13" x14ac:dyDescent="0.25">
      <c r="C67" s="10"/>
    </row>
    <row r="68" spans="1:13" x14ac:dyDescent="0.25">
      <c r="A68" s="13"/>
      <c r="C68" s="10"/>
    </row>
    <row r="69" spans="1:13" x14ac:dyDescent="0.25">
      <c r="C69" s="10"/>
    </row>
    <row r="70" spans="1:13" x14ac:dyDescent="0.25">
      <c r="C70" s="10"/>
    </row>
    <row r="71" spans="1:13" x14ac:dyDescent="0.25">
      <c r="C71" s="10"/>
    </row>
    <row r="72" spans="1:13" x14ac:dyDescent="0.25">
      <c r="C72" s="10"/>
    </row>
    <row r="73" spans="1:13" x14ac:dyDescent="0.25">
      <c r="C73" s="10"/>
    </row>
    <row r="74" spans="1:13" x14ac:dyDescent="0.25">
      <c r="C74" s="10"/>
    </row>
    <row r="75" spans="1:13" x14ac:dyDescent="0.25">
      <c r="C75" s="10"/>
    </row>
    <row r="76" spans="1:13" x14ac:dyDescent="0.25">
      <c r="C76" s="10"/>
    </row>
    <row r="77" spans="1:13" x14ac:dyDescent="0.25">
      <c r="C77" s="10"/>
    </row>
    <row r="78" spans="1:13" x14ac:dyDescent="0.25">
      <c r="C78" s="10"/>
    </row>
    <row r="79" spans="1:13" x14ac:dyDescent="0.25">
      <c r="C79" s="10"/>
    </row>
    <row r="80" spans="1:13" x14ac:dyDescent="0.25"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84" spans="3:3" x14ac:dyDescent="0.25">
      <c r="C84" s="10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M94"/>
  <sheetViews>
    <sheetView topLeftCell="C1" workbookViewId="0">
      <pane ySplit="3" topLeftCell="A4" activePane="bottomLeft" state="frozen"/>
      <selection activeCell="D32" sqref="D32"/>
      <selection pane="bottomLeft" activeCell="A29" sqref="A29:M30"/>
    </sheetView>
  </sheetViews>
  <sheetFormatPr baseColWidth="10" defaultColWidth="10.7109375" defaultRowHeight="15" x14ac:dyDescent="0.25"/>
  <cols>
    <col min="1" max="1" width="22.7109375" style="9" customWidth="1"/>
    <col min="2" max="2" width="51" style="9" customWidth="1"/>
    <col min="3" max="3" width="39.85546875" style="9" customWidth="1"/>
    <col min="4" max="4" width="43.28515625" style="9" customWidth="1"/>
    <col min="5" max="5" width="10.7109375" style="10"/>
    <col min="6" max="8" width="10.7109375" style="9"/>
    <col min="9" max="9" width="42.42578125" style="10" customWidth="1"/>
    <col min="10" max="10" width="31.85546875" style="9" customWidth="1"/>
    <col min="11" max="11" width="18" style="10" customWidth="1"/>
    <col min="12" max="12" width="24.5703125" style="9" customWidth="1"/>
    <col min="13" max="13" width="19.28515625" style="10" customWidth="1"/>
    <col min="14" max="16384" width="10.7109375" style="9"/>
  </cols>
  <sheetData>
    <row r="1" spans="1:13" s="11" customFormat="1" x14ac:dyDescent="0.25">
      <c r="A1" s="11" t="s">
        <v>0</v>
      </c>
      <c r="E1" s="12"/>
      <c r="I1" s="12"/>
      <c r="K1" s="12"/>
      <c r="M1" s="12"/>
    </row>
    <row r="3" spans="1:13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I3" s="12" t="s">
        <v>11</v>
      </c>
      <c r="J3" s="11" t="s">
        <v>8</v>
      </c>
      <c r="K3" s="12" t="s">
        <v>9</v>
      </c>
      <c r="L3" s="11" t="s">
        <v>64</v>
      </c>
      <c r="M3" s="12" t="s">
        <v>13</v>
      </c>
    </row>
    <row r="4" spans="1:13" x14ac:dyDescent="0.25">
      <c r="A4" s="5" t="s">
        <v>262</v>
      </c>
      <c r="B4" s="5" t="s">
        <v>263</v>
      </c>
      <c r="C4" s="5" t="s">
        <v>27</v>
      </c>
      <c r="D4" s="5" t="s">
        <v>264</v>
      </c>
      <c r="E4" s="4">
        <v>13500</v>
      </c>
      <c r="F4" s="5"/>
      <c r="G4" s="5"/>
      <c r="H4" s="5"/>
      <c r="I4" s="4" t="s">
        <v>127</v>
      </c>
      <c r="J4" s="4" t="s">
        <v>254</v>
      </c>
      <c r="K4" s="4">
        <v>7000</v>
      </c>
      <c r="L4" s="4" t="s">
        <v>261</v>
      </c>
      <c r="M4" s="4">
        <f t="shared" ref="M4:M10" si="0">E4-K4</f>
        <v>6500</v>
      </c>
    </row>
    <row r="5" spans="1:13" x14ac:dyDescent="0.25">
      <c r="A5" s="5" t="s">
        <v>262</v>
      </c>
      <c r="B5" s="5" t="s">
        <v>265</v>
      </c>
      <c r="C5" s="5" t="s">
        <v>27</v>
      </c>
      <c r="D5" s="5" t="s">
        <v>264</v>
      </c>
      <c r="E5" s="4">
        <v>500</v>
      </c>
      <c r="F5" s="5"/>
      <c r="G5" s="5"/>
      <c r="H5" s="5"/>
      <c r="I5" s="4" t="s">
        <v>266</v>
      </c>
      <c r="J5" s="4" t="s">
        <v>254</v>
      </c>
      <c r="K5" s="4">
        <v>250</v>
      </c>
      <c r="L5" s="4" t="s">
        <v>261</v>
      </c>
      <c r="M5" s="4">
        <f t="shared" si="0"/>
        <v>250</v>
      </c>
    </row>
    <row r="6" spans="1:13" x14ac:dyDescent="0.25">
      <c r="A6" s="5" t="s">
        <v>262</v>
      </c>
      <c r="B6" s="5" t="s">
        <v>272</v>
      </c>
      <c r="C6" s="5" t="s">
        <v>7</v>
      </c>
      <c r="D6" s="5" t="s">
        <v>33</v>
      </c>
      <c r="E6" s="4">
        <v>500</v>
      </c>
      <c r="F6" s="5"/>
      <c r="G6" s="5"/>
      <c r="H6" s="5"/>
      <c r="I6" s="4" t="s">
        <v>281</v>
      </c>
      <c r="J6" s="4" t="s">
        <v>254</v>
      </c>
      <c r="K6" s="4">
        <v>200</v>
      </c>
      <c r="L6" s="4" t="s">
        <v>261</v>
      </c>
      <c r="M6" s="4">
        <f t="shared" si="0"/>
        <v>300</v>
      </c>
    </row>
    <row r="7" spans="1:13" x14ac:dyDescent="0.25">
      <c r="A7" s="5" t="s">
        <v>279</v>
      </c>
      <c r="B7" s="5" t="s">
        <v>280</v>
      </c>
      <c r="C7" s="5" t="s">
        <v>7</v>
      </c>
      <c r="D7" s="5" t="s">
        <v>33</v>
      </c>
      <c r="E7" s="4">
        <v>600</v>
      </c>
      <c r="F7" s="5"/>
      <c r="G7" s="5"/>
      <c r="H7" s="5"/>
      <c r="I7" s="4" t="s">
        <v>37</v>
      </c>
      <c r="J7" s="4" t="s">
        <v>37</v>
      </c>
      <c r="K7" s="4">
        <v>0</v>
      </c>
      <c r="L7" s="4" t="s">
        <v>37</v>
      </c>
      <c r="M7" s="4">
        <f t="shared" si="0"/>
        <v>600</v>
      </c>
    </row>
    <row r="8" spans="1:13" x14ac:dyDescent="0.25">
      <c r="A8" s="5" t="s">
        <v>279</v>
      </c>
      <c r="B8" s="5" t="s">
        <v>282</v>
      </c>
      <c r="C8" s="5" t="s">
        <v>7</v>
      </c>
      <c r="D8" s="5" t="s">
        <v>33</v>
      </c>
      <c r="E8" s="4">
        <v>1100</v>
      </c>
      <c r="F8" s="5"/>
      <c r="G8" s="5"/>
      <c r="H8" s="5"/>
      <c r="I8" s="4" t="s">
        <v>283</v>
      </c>
      <c r="J8" s="4" t="s">
        <v>279</v>
      </c>
      <c r="K8" s="4">
        <v>440</v>
      </c>
      <c r="L8" s="4" t="s">
        <v>261</v>
      </c>
      <c r="M8" s="4">
        <f t="shared" si="0"/>
        <v>660</v>
      </c>
    </row>
    <row r="9" spans="1:13" x14ac:dyDescent="0.25">
      <c r="A9" s="5" t="s">
        <v>284</v>
      </c>
      <c r="B9" s="5" t="s">
        <v>130</v>
      </c>
      <c r="C9" s="5" t="s">
        <v>7</v>
      </c>
      <c r="D9" s="5" t="s">
        <v>33</v>
      </c>
      <c r="E9" s="4">
        <v>1850</v>
      </c>
      <c r="F9" s="5"/>
      <c r="G9" s="5"/>
      <c r="H9" s="5"/>
      <c r="I9" s="4" t="s">
        <v>285</v>
      </c>
      <c r="J9" s="4" t="s">
        <v>286</v>
      </c>
      <c r="K9" s="4">
        <v>400</v>
      </c>
      <c r="L9" s="4" t="s">
        <v>261</v>
      </c>
      <c r="M9" s="4">
        <f t="shared" si="0"/>
        <v>1450</v>
      </c>
    </row>
    <row r="10" spans="1:13" x14ac:dyDescent="0.25">
      <c r="A10" s="5" t="s">
        <v>284</v>
      </c>
      <c r="B10" s="5" t="s">
        <v>287</v>
      </c>
      <c r="C10" s="5" t="s">
        <v>27</v>
      </c>
      <c r="D10" s="5" t="s">
        <v>33</v>
      </c>
      <c r="E10" s="4">
        <v>2000</v>
      </c>
      <c r="F10" s="5"/>
      <c r="G10" s="5"/>
      <c r="H10" s="5"/>
      <c r="I10" s="4" t="s">
        <v>288</v>
      </c>
      <c r="J10" s="4" t="s">
        <v>286</v>
      </c>
      <c r="K10" s="4">
        <v>285</v>
      </c>
      <c r="L10" s="4" t="s">
        <v>261</v>
      </c>
      <c r="M10" s="4">
        <f t="shared" si="0"/>
        <v>1715</v>
      </c>
    </row>
    <row r="11" spans="1:13" x14ac:dyDescent="0.25">
      <c r="A11" s="5" t="s">
        <v>284</v>
      </c>
      <c r="B11" s="5" t="s">
        <v>289</v>
      </c>
      <c r="C11" s="5" t="s">
        <v>27</v>
      </c>
      <c r="D11" s="5" t="s">
        <v>33</v>
      </c>
      <c r="E11" s="4">
        <f>1450+400</f>
        <v>1850</v>
      </c>
      <c r="F11" s="5"/>
      <c r="G11" s="5"/>
      <c r="H11" s="18"/>
      <c r="I11" s="4" t="s">
        <v>288</v>
      </c>
      <c r="J11" s="4" t="s">
        <v>286</v>
      </c>
      <c r="K11" s="4">
        <v>285</v>
      </c>
      <c r="L11" s="4" t="s">
        <v>261</v>
      </c>
      <c r="M11" s="4">
        <f t="shared" ref="M11:M13" si="1">E11-K11</f>
        <v>1565</v>
      </c>
    </row>
    <row r="12" spans="1:13" x14ac:dyDescent="0.25">
      <c r="A12" s="5" t="s">
        <v>284</v>
      </c>
      <c r="B12" s="5" t="s">
        <v>291</v>
      </c>
      <c r="C12" s="5" t="s">
        <v>27</v>
      </c>
      <c r="D12" s="5" t="s">
        <v>33</v>
      </c>
      <c r="E12" s="4">
        <v>750</v>
      </c>
      <c r="F12" s="5"/>
      <c r="G12" s="5"/>
      <c r="H12" s="18"/>
      <c r="I12" s="4" t="s">
        <v>37</v>
      </c>
      <c r="J12" s="4" t="s">
        <v>37</v>
      </c>
      <c r="K12" s="4">
        <v>0</v>
      </c>
      <c r="L12" s="4" t="s">
        <v>37</v>
      </c>
      <c r="M12" s="4">
        <f t="shared" si="1"/>
        <v>750</v>
      </c>
    </row>
    <row r="13" spans="1:13" x14ac:dyDescent="0.25">
      <c r="A13" s="5" t="s">
        <v>284</v>
      </c>
      <c r="B13" s="5" t="s">
        <v>292</v>
      </c>
      <c r="C13" s="5" t="s">
        <v>27</v>
      </c>
      <c r="D13" s="5" t="s">
        <v>33</v>
      </c>
      <c r="E13" s="4">
        <v>1000</v>
      </c>
      <c r="F13" s="5"/>
      <c r="G13" s="5"/>
      <c r="H13" s="18"/>
      <c r="I13" s="4" t="s">
        <v>37</v>
      </c>
      <c r="J13" s="4" t="s">
        <v>37</v>
      </c>
      <c r="K13" s="4">
        <v>0</v>
      </c>
      <c r="L13" s="4" t="s">
        <v>37</v>
      </c>
      <c r="M13" s="4">
        <f t="shared" si="1"/>
        <v>1000</v>
      </c>
    </row>
    <row r="14" spans="1:13" x14ac:dyDescent="0.25">
      <c r="A14" s="5" t="s">
        <v>293</v>
      </c>
      <c r="B14" s="5" t="s">
        <v>294</v>
      </c>
      <c r="C14" s="5" t="s">
        <v>27</v>
      </c>
      <c r="D14" s="5" t="s">
        <v>33</v>
      </c>
      <c r="E14" s="4">
        <v>3850</v>
      </c>
      <c r="F14" s="5"/>
      <c r="G14" s="5"/>
      <c r="H14" s="18"/>
      <c r="I14" s="4" t="s">
        <v>295</v>
      </c>
      <c r="J14" s="4" t="s">
        <v>293</v>
      </c>
      <c r="K14" s="4">
        <f>500+619+619</f>
        <v>1738</v>
      </c>
      <c r="L14" s="4" t="s">
        <v>296</v>
      </c>
      <c r="M14" s="4">
        <f>E14-K14</f>
        <v>2112</v>
      </c>
    </row>
    <row r="15" spans="1:13" x14ac:dyDescent="0.25">
      <c r="A15" s="5" t="s">
        <v>298</v>
      </c>
      <c r="B15" s="5" t="s">
        <v>299</v>
      </c>
      <c r="C15" s="5" t="s">
        <v>27</v>
      </c>
      <c r="D15" s="5" t="s">
        <v>33</v>
      </c>
      <c r="E15" s="4">
        <v>1550</v>
      </c>
      <c r="F15" s="5"/>
      <c r="G15" s="5"/>
      <c r="H15" s="18"/>
      <c r="I15" s="4" t="s">
        <v>300</v>
      </c>
      <c r="J15" s="4" t="s">
        <v>298</v>
      </c>
      <c r="K15" s="4">
        <v>750</v>
      </c>
      <c r="L15" s="4" t="s">
        <v>296</v>
      </c>
      <c r="M15" s="4">
        <f>E15-K15</f>
        <v>800</v>
      </c>
    </row>
    <row r="16" spans="1:13" x14ac:dyDescent="0.25">
      <c r="A16" s="5" t="s">
        <v>301</v>
      </c>
      <c r="B16" s="5" t="s">
        <v>302</v>
      </c>
      <c r="C16" s="5" t="s">
        <v>27</v>
      </c>
      <c r="D16" s="5" t="s">
        <v>33</v>
      </c>
      <c r="E16" s="4">
        <v>650</v>
      </c>
      <c r="F16" s="5"/>
      <c r="G16" s="5"/>
      <c r="H16" s="18"/>
      <c r="I16" s="4" t="s">
        <v>37</v>
      </c>
      <c r="J16" s="4" t="s">
        <v>37</v>
      </c>
      <c r="K16" s="4">
        <v>0</v>
      </c>
      <c r="L16" s="4"/>
      <c r="M16" s="4">
        <f>E16-K16</f>
        <v>650</v>
      </c>
    </row>
    <row r="17" spans="1:13" x14ac:dyDescent="0.25">
      <c r="A17" s="5" t="s">
        <v>303</v>
      </c>
      <c r="B17" s="5" t="s">
        <v>229</v>
      </c>
      <c r="C17" s="5" t="s">
        <v>7</v>
      </c>
      <c r="D17" s="5" t="s">
        <v>304</v>
      </c>
      <c r="E17" s="4">
        <v>350</v>
      </c>
      <c r="F17" s="5"/>
      <c r="G17" s="5"/>
      <c r="H17" s="18"/>
      <c r="I17" s="4" t="s">
        <v>37</v>
      </c>
      <c r="J17" s="4" t="s">
        <v>37</v>
      </c>
      <c r="K17" s="4">
        <v>0</v>
      </c>
      <c r="L17" s="4"/>
      <c r="M17" s="4">
        <f t="shared" ref="M17:M24" si="2">E17-K17</f>
        <v>350</v>
      </c>
    </row>
    <row r="18" spans="1:13" x14ac:dyDescent="0.25">
      <c r="A18" s="5" t="s">
        <v>303</v>
      </c>
      <c r="B18" s="5" t="s">
        <v>305</v>
      </c>
      <c r="C18" s="5" t="s">
        <v>16</v>
      </c>
      <c r="D18" s="5" t="s">
        <v>134</v>
      </c>
      <c r="E18" s="4">
        <v>8200</v>
      </c>
      <c r="F18" s="5"/>
      <c r="G18" s="5"/>
      <c r="H18" s="18"/>
      <c r="I18" s="4" t="s">
        <v>306</v>
      </c>
      <c r="J18" s="4" t="s">
        <v>303</v>
      </c>
      <c r="K18" s="4">
        <v>3200</v>
      </c>
      <c r="L18" s="4" t="s">
        <v>296</v>
      </c>
      <c r="M18" s="4">
        <f t="shared" si="2"/>
        <v>5000</v>
      </c>
    </row>
    <row r="19" spans="1:13" x14ac:dyDescent="0.25">
      <c r="A19" s="5" t="s">
        <v>303</v>
      </c>
      <c r="B19" s="5" t="s">
        <v>308</v>
      </c>
      <c r="C19" s="5" t="s">
        <v>27</v>
      </c>
      <c r="D19" s="5" t="s">
        <v>33</v>
      </c>
      <c r="E19" s="4">
        <v>1750</v>
      </c>
      <c r="F19" s="5"/>
      <c r="G19" s="5"/>
      <c r="H19" s="18"/>
      <c r="I19" s="4" t="s">
        <v>307</v>
      </c>
      <c r="J19" s="4" t="s">
        <v>303</v>
      </c>
      <c r="K19" s="4">
        <v>350</v>
      </c>
      <c r="L19" s="4" t="s">
        <v>296</v>
      </c>
      <c r="M19" s="4">
        <f t="shared" si="2"/>
        <v>1400</v>
      </c>
    </row>
    <row r="20" spans="1:13" x14ac:dyDescent="0.25">
      <c r="A20" s="5" t="s">
        <v>309</v>
      </c>
      <c r="B20" s="5" t="s">
        <v>310</v>
      </c>
      <c r="C20" s="5" t="s">
        <v>27</v>
      </c>
      <c r="D20" s="5" t="s">
        <v>311</v>
      </c>
      <c r="E20" s="4">
        <v>1850</v>
      </c>
      <c r="F20" s="5"/>
      <c r="G20" s="5"/>
      <c r="H20" s="5"/>
      <c r="I20" s="4" t="s">
        <v>285</v>
      </c>
      <c r="J20" s="5" t="s">
        <v>303</v>
      </c>
      <c r="K20" s="4">
        <v>4600</v>
      </c>
      <c r="L20" s="4" t="s">
        <v>296</v>
      </c>
      <c r="M20" s="4">
        <f t="shared" si="2"/>
        <v>-2750</v>
      </c>
    </row>
    <row r="21" spans="1:13" x14ac:dyDescent="0.25">
      <c r="A21" s="5" t="s">
        <v>309</v>
      </c>
      <c r="B21" s="5" t="s">
        <v>312</v>
      </c>
      <c r="C21" s="5" t="s">
        <v>27</v>
      </c>
      <c r="D21" s="5" t="s">
        <v>33</v>
      </c>
      <c r="E21" s="4">
        <v>1450</v>
      </c>
      <c r="F21" s="5"/>
      <c r="G21" s="5"/>
      <c r="H21" s="5"/>
      <c r="I21" s="4" t="s">
        <v>313</v>
      </c>
      <c r="J21" s="5" t="s">
        <v>309</v>
      </c>
      <c r="K21" s="4">
        <f>K13+K7+K8</f>
        <v>440</v>
      </c>
      <c r="L21" s="4" t="s">
        <v>296</v>
      </c>
      <c r="M21" s="4">
        <f t="shared" si="2"/>
        <v>1010</v>
      </c>
    </row>
    <row r="22" spans="1:13" x14ac:dyDescent="0.25">
      <c r="A22" s="5" t="s">
        <v>314</v>
      </c>
      <c r="B22" s="5" t="s">
        <v>315</v>
      </c>
      <c r="C22" s="5" t="s">
        <v>27</v>
      </c>
      <c r="D22" s="5" t="s">
        <v>33</v>
      </c>
      <c r="E22" s="4">
        <v>2450</v>
      </c>
      <c r="F22" s="5"/>
      <c r="G22" s="5"/>
      <c r="H22" s="5"/>
      <c r="I22" s="4" t="s">
        <v>316</v>
      </c>
      <c r="J22" s="5" t="s">
        <v>314</v>
      </c>
      <c r="K22" s="4">
        <v>1890</v>
      </c>
      <c r="L22" s="5" t="s">
        <v>296</v>
      </c>
      <c r="M22" s="4">
        <f t="shared" si="2"/>
        <v>560</v>
      </c>
    </row>
    <row r="23" spans="1:13" x14ac:dyDescent="0.25">
      <c r="A23" s="5" t="s">
        <v>317</v>
      </c>
      <c r="B23" s="5" t="s">
        <v>318</v>
      </c>
      <c r="C23" s="5" t="s">
        <v>27</v>
      </c>
      <c r="D23" s="5" t="s">
        <v>33</v>
      </c>
      <c r="E23" s="4">
        <v>950</v>
      </c>
      <c r="F23" s="5"/>
      <c r="G23" s="5"/>
      <c r="H23" s="5"/>
      <c r="I23" s="4" t="s">
        <v>316</v>
      </c>
      <c r="J23" s="5" t="s">
        <v>317</v>
      </c>
      <c r="K23" s="4">
        <v>385</v>
      </c>
      <c r="L23" s="5" t="s">
        <v>296</v>
      </c>
      <c r="M23" s="4">
        <f t="shared" si="2"/>
        <v>565</v>
      </c>
    </row>
    <row r="24" spans="1:13" x14ac:dyDescent="0.25">
      <c r="A24" s="5" t="s">
        <v>319</v>
      </c>
      <c r="B24" s="5" t="s">
        <v>320</v>
      </c>
      <c r="C24" s="5" t="s">
        <v>27</v>
      </c>
      <c r="D24" s="5" t="s">
        <v>33</v>
      </c>
      <c r="E24" s="4">
        <v>550</v>
      </c>
      <c r="F24" s="5"/>
      <c r="G24" s="5"/>
      <c r="H24" s="5"/>
      <c r="I24" s="4" t="s">
        <v>37</v>
      </c>
      <c r="J24" s="5" t="s">
        <v>37</v>
      </c>
      <c r="K24" s="4">
        <v>0</v>
      </c>
      <c r="L24" s="5" t="s">
        <v>37</v>
      </c>
      <c r="M24" s="4">
        <f t="shared" si="2"/>
        <v>550</v>
      </c>
    </row>
    <row r="25" spans="1:13" x14ac:dyDescent="0.25">
      <c r="A25" s="5" t="s">
        <v>321</v>
      </c>
      <c r="B25" s="5" t="s">
        <v>322</v>
      </c>
      <c r="C25" s="5" t="s">
        <v>27</v>
      </c>
      <c r="D25" s="5" t="s">
        <v>33</v>
      </c>
      <c r="E25" s="4">
        <v>1600</v>
      </c>
      <c r="F25" s="5"/>
      <c r="G25" s="5"/>
      <c r="H25" s="5"/>
      <c r="I25" s="4" t="s">
        <v>37</v>
      </c>
      <c r="J25" s="5" t="s">
        <v>37</v>
      </c>
      <c r="K25" s="4">
        <v>0</v>
      </c>
      <c r="L25" s="5" t="s">
        <v>37</v>
      </c>
      <c r="M25" s="4">
        <f t="shared" ref="M25:M27" si="3">E25-K25</f>
        <v>1600</v>
      </c>
    </row>
    <row r="26" spans="1:13" x14ac:dyDescent="0.25">
      <c r="A26" s="5" t="s">
        <v>321</v>
      </c>
      <c r="B26" s="5" t="s">
        <v>323</v>
      </c>
      <c r="C26" s="5" t="s">
        <v>27</v>
      </c>
      <c r="D26" s="5" t="s">
        <v>36</v>
      </c>
      <c r="E26" s="4">
        <v>2146</v>
      </c>
      <c r="F26" s="5"/>
      <c r="G26" s="5"/>
      <c r="H26" s="5"/>
      <c r="I26" s="4" t="s">
        <v>285</v>
      </c>
      <c r="J26" s="5" t="s">
        <v>303</v>
      </c>
      <c r="K26" s="4">
        <v>400</v>
      </c>
      <c r="L26" s="5" t="s">
        <v>296</v>
      </c>
      <c r="M26" s="4">
        <f t="shared" si="3"/>
        <v>1746</v>
      </c>
    </row>
    <row r="27" spans="1:13" x14ac:dyDescent="0.25">
      <c r="A27" s="5" t="s">
        <v>324</v>
      </c>
      <c r="B27" s="5" t="s">
        <v>325</v>
      </c>
      <c r="C27" s="5" t="s">
        <v>27</v>
      </c>
      <c r="D27" s="5" t="s">
        <v>33</v>
      </c>
      <c r="E27" s="4">
        <v>750</v>
      </c>
      <c r="F27" s="5"/>
      <c r="G27" s="5"/>
      <c r="H27" s="5"/>
      <c r="I27" s="4" t="s">
        <v>37</v>
      </c>
      <c r="J27" s="5" t="s">
        <v>37</v>
      </c>
      <c r="K27" s="4">
        <v>0</v>
      </c>
      <c r="L27" s="5" t="s">
        <v>37</v>
      </c>
      <c r="M27" s="4">
        <f t="shared" si="3"/>
        <v>750</v>
      </c>
    </row>
    <row r="28" spans="1:13" x14ac:dyDescent="0.25">
      <c r="A28" s="5" t="s">
        <v>324</v>
      </c>
      <c r="B28" s="5" t="s">
        <v>326</v>
      </c>
      <c r="C28" s="5" t="s">
        <v>27</v>
      </c>
      <c r="D28" s="5" t="s">
        <v>33</v>
      </c>
      <c r="E28" s="4">
        <v>550</v>
      </c>
      <c r="F28" s="5"/>
      <c r="G28" s="5"/>
      <c r="H28" s="5"/>
      <c r="I28" s="4" t="s">
        <v>37</v>
      </c>
      <c r="J28" s="5" t="s">
        <v>37</v>
      </c>
      <c r="K28" s="4">
        <v>0</v>
      </c>
      <c r="L28" s="5" t="s">
        <v>37</v>
      </c>
      <c r="M28" s="4">
        <f t="shared" ref="M28" si="4">E28-K28</f>
        <v>550</v>
      </c>
    </row>
    <row r="29" spans="1:13" x14ac:dyDescent="0.25">
      <c r="A29" s="5" t="s">
        <v>275</v>
      </c>
      <c r="B29" s="5" t="s">
        <v>328</v>
      </c>
      <c r="C29" s="5" t="s">
        <v>27</v>
      </c>
      <c r="D29" s="5" t="s">
        <v>329</v>
      </c>
      <c r="E29" s="4">
        <v>3200</v>
      </c>
      <c r="F29" s="5"/>
      <c r="G29" s="5"/>
      <c r="H29" s="5"/>
      <c r="I29" s="4" t="s">
        <v>330</v>
      </c>
      <c r="J29" s="5" t="s">
        <v>275</v>
      </c>
      <c r="K29" s="4">
        <f>1600+500</f>
        <v>2100</v>
      </c>
      <c r="L29" s="5" t="s">
        <v>296</v>
      </c>
      <c r="M29" s="4">
        <f>E29-K29</f>
        <v>1100</v>
      </c>
    </row>
    <row r="30" spans="1:13" x14ac:dyDescent="0.25">
      <c r="A30" s="5" t="s">
        <v>275</v>
      </c>
      <c r="B30" s="5" t="s">
        <v>331</v>
      </c>
      <c r="C30" s="5" t="s">
        <v>27</v>
      </c>
      <c r="D30" s="5" t="s">
        <v>329</v>
      </c>
      <c r="E30" s="4">
        <v>3200</v>
      </c>
      <c r="F30" s="5"/>
      <c r="G30" s="5"/>
      <c r="H30" s="5"/>
      <c r="I30" s="4" t="s">
        <v>330</v>
      </c>
      <c r="J30" s="5" t="s">
        <v>275</v>
      </c>
      <c r="K30" s="4">
        <f>1600+500</f>
        <v>2100</v>
      </c>
      <c r="L30" s="5" t="s">
        <v>296</v>
      </c>
      <c r="M30" s="4">
        <f>E30-K30</f>
        <v>1100</v>
      </c>
    </row>
    <row r="31" spans="1:13" x14ac:dyDescent="0.25">
      <c r="A31" s="5" t="s">
        <v>275</v>
      </c>
      <c r="B31" s="5" t="s">
        <v>332</v>
      </c>
      <c r="C31" s="5" t="s">
        <v>27</v>
      </c>
      <c r="D31" s="5" t="s">
        <v>134</v>
      </c>
      <c r="E31" s="4">
        <v>11200</v>
      </c>
      <c r="F31" s="5"/>
      <c r="G31" s="5"/>
      <c r="H31" s="5"/>
      <c r="I31" s="4" t="s">
        <v>127</v>
      </c>
      <c r="J31" s="5" t="s">
        <v>275</v>
      </c>
      <c r="K31" s="4">
        <v>5800</v>
      </c>
      <c r="L31" s="5" t="s">
        <v>296</v>
      </c>
      <c r="M31" s="4">
        <f>E31-K31</f>
        <v>5400</v>
      </c>
    </row>
    <row r="35" spans="1:13" x14ac:dyDescent="0.25">
      <c r="H35" s="16"/>
    </row>
    <row r="36" spans="1:13" s="11" customFormat="1" x14ac:dyDescent="0.25">
      <c r="A36" s="11" t="s">
        <v>290</v>
      </c>
      <c r="E36" s="12"/>
      <c r="H36" s="17"/>
      <c r="I36" s="12"/>
      <c r="K36" s="12"/>
      <c r="M36" s="12"/>
    </row>
    <row r="37" spans="1:13" x14ac:dyDescent="0.25">
      <c r="F37" s="16"/>
      <c r="H37" s="16"/>
    </row>
    <row r="38" spans="1:13" x14ac:dyDescent="0.25">
      <c r="A38" s="5" t="s">
        <v>274</v>
      </c>
      <c r="B38" s="5" t="s">
        <v>108</v>
      </c>
      <c r="C38" s="4">
        <v>900</v>
      </c>
      <c r="J38" s="10"/>
      <c r="L38" s="10"/>
    </row>
    <row r="39" spans="1:13" x14ac:dyDescent="0.25">
      <c r="A39" s="5" t="s">
        <v>274</v>
      </c>
      <c r="B39" s="5" t="s">
        <v>76</v>
      </c>
      <c r="C39" s="4">
        <v>500</v>
      </c>
      <c r="H39" s="16"/>
    </row>
    <row r="40" spans="1:13" x14ac:dyDescent="0.25">
      <c r="A40" s="5" t="s">
        <v>275</v>
      </c>
      <c r="B40" s="5" t="s">
        <v>206</v>
      </c>
      <c r="C40" s="4">
        <v>7000</v>
      </c>
    </row>
    <row r="41" spans="1:13" x14ac:dyDescent="0.25">
      <c r="A41" s="9" t="s">
        <v>275</v>
      </c>
      <c r="B41" s="9" t="s">
        <v>237</v>
      </c>
      <c r="C41" s="10">
        <v>2500</v>
      </c>
      <c r="H41" s="16"/>
    </row>
    <row r="42" spans="1:13" x14ac:dyDescent="0.25">
      <c r="A42" s="5" t="s">
        <v>275</v>
      </c>
      <c r="B42" s="5" t="s">
        <v>72</v>
      </c>
      <c r="C42" s="4">
        <v>600</v>
      </c>
    </row>
    <row r="43" spans="1:13" x14ac:dyDescent="0.25">
      <c r="A43" s="5" t="s">
        <v>275</v>
      </c>
      <c r="B43" s="5" t="s">
        <v>243</v>
      </c>
      <c r="C43" s="4">
        <f>2000-1000</f>
        <v>1000</v>
      </c>
    </row>
    <row r="44" spans="1:13" x14ac:dyDescent="0.25">
      <c r="A44" s="5" t="s">
        <v>276</v>
      </c>
      <c r="B44" s="5" t="s">
        <v>108</v>
      </c>
      <c r="C44" s="4">
        <v>900</v>
      </c>
    </row>
    <row r="45" spans="1:13" x14ac:dyDescent="0.25">
      <c r="A45" s="5" t="s">
        <v>276</v>
      </c>
      <c r="B45" s="5" t="s">
        <v>76</v>
      </c>
      <c r="C45" s="4">
        <v>500</v>
      </c>
    </row>
    <row r="46" spans="1:13" x14ac:dyDescent="0.25">
      <c r="A46" s="5" t="s">
        <v>276</v>
      </c>
      <c r="B46" s="5" t="s">
        <v>297</v>
      </c>
      <c r="C46" s="4">
        <v>1000</v>
      </c>
    </row>
    <row r="47" spans="1:13" s="10" customFormat="1" x14ac:dyDescent="0.25">
      <c r="A47" s="5" t="s">
        <v>277</v>
      </c>
      <c r="B47" s="5" t="s">
        <v>108</v>
      </c>
      <c r="C47" s="4">
        <v>1200</v>
      </c>
      <c r="D47" s="9"/>
      <c r="F47" s="9"/>
      <c r="G47" s="9"/>
      <c r="H47" s="9"/>
      <c r="J47" s="9"/>
      <c r="L47" s="9"/>
    </row>
    <row r="48" spans="1:13" s="10" customFormat="1" x14ac:dyDescent="0.25">
      <c r="A48" s="5" t="s">
        <v>277</v>
      </c>
      <c r="B48" s="5" t="s">
        <v>297</v>
      </c>
      <c r="C48" s="4">
        <v>1000</v>
      </c>
      <c r="D48" s="9"/>
      <c r="F48" s="9"/>
      <c r="G48" s="9"/>
      <c r="H48" s="9"/>
      <c r="J48" s="9"/>
      <c r="L48" s="9"/>
    </row>
    <row r="49" spans="1:12" s="10" customFormat="1" x14ac:dyDescent="0.25">
      <c r="A49" s="5" t="s">
        <v>278</v>
      </c>
      <c r="B49" s="5" t="s">
        <v>108</v>
      </c>
      <c r="C49" s="4">
        <v>1200</v>
      </c>
      <c r="D49" s="9"/>
      <c r="F49" s="9"/>
      <c r="G49" s="9"/>
      <c r="H49" s="9"/>
      <c r="J49" s="9"/>
      <c r="L49" s="9"/>
    </row>
    <row r="50" spans="1:12" s="10" customFormat="1" x14ac:dyDescent="0.25">
      <c r="A50" s="5" t="s">
        <v>278</v>
      </c>
      <c r="B50" s="5" t="s">
        <v>297</v>
      </c>
      <c r="C50" s="4">
        <v>1000</v>
      </c>
      <c r="D50" s="9"/>
      <c r="F50" s="9"/>
      <c r="G50" s="9"/>
      <c r="H50" s="9"/>
    </row>
    <row r="51" spans="1:12" s="10" customFormat="1" x14ac:dyDescent="0.25">
      <c r="A51" s="5" t="s">
        <v>275</v>
      </c>
      <c r="B51" s="5" t="s">
        <v>108</v>
      </c>
      <c r="C51" s="4">
        <v>1200</v>
      </c>
      <c r="D51" s="9"/>
      <c r="F51" s="9"/>
      <c r="G51" s="9"/>
      <c r="H51" s="9"/>
    </row>
    <row r="52" spans="1:12" s="10" customFormat="1" x14ac:dyDescent="0.25">
      <c r="A52" s="5" t="s">
        <v>275</v>
      </c>
      <c r="B52" s="5" t="s">
        <v>327</v>
      </c>
      <c r="C52" s="4">
        <v>1200</v>
      </c>
      <c r="D52" s="9"/>
      <c r="F52" s="9"/>
      <c r="G52" s="9"/>
      <c r="H52" s="9"/>
    </row>
    <row r="53" spans="1:12" s="10" customFormat="1" x14ac:dyDescent="0.25">
      <c r="A53" s="9"/>
      <c r="B53" s="9"/>
      <c r="D53" s="9"/>
      <c r="F53" s="9"/>
      <c r="G53" s="9"/>
      <c r="H53" s="9"/>
    </row>
    <row r="54" spans="1:12" s="10" customFormat="1" x14ac:dyDescent="0.25">
      <c r="A54" s="9"/>
      <c r="B54" s="9"/>
      <c r="C54" s="9"/>
      <c r="D54" s="9"/>
      <c r="F54" s="9"/>
      <c r="G54" s="9"/>
      <c r="H54" s="9"/>
    </row>
    <row r="55" spans="1:12" s="10" customFormat="1" x14ac:dyDescent="0.25"/>
    <row r="56" spans="1:12" s="10" customFormat="1" x14ac:dyDescent="0.25"/>
    <row r="57" spans="1:12" s="10" customFormat="1" x14ac:dyDescent="0.25"/>
    <row r="58" spans="1:12" s="10" customFormat="1" x14ac:dyDescent="0.25"/>
    <row r="59" spans="1:12" s="10" customFormat="1" x14ac:dyDescent="0.25"/>
    <row r="60" spans="1:12" s="10" customFormat="1" x14ac:dyDescent="0.25"/>
    <row r="61" spans="1:12" s="10" customFormat="1" x14ac:dyDescent="0.25"/>
    <row r="62" spans="1:12" s="10" customFormat="1" x14ac:dyDescent="0.25">
      <c r="J62" s="9"/>
      <c r="L62" s="9"/>
    </row>
    <row r="63" spans="1:12" s="10" customFormat="1" x14ac:dyDescent="0.25">
      <c r="J63" s="9"/>
      <c r="L63" s="9"/>
    </row>
    <row r="64" spans="1:12" s="10" customFormat="1" x14ac:dyDescent="0.25">
      <c r="J64" s="9"/>
      <c r="L64" s="9"/>
    </row>
    <row r="65" spans="1:13" s="10" customFormat="1" x14ac:dyDescent="0.25">
      <c r="J65" s="9"/>
      <c r="L65" s="9"/>
    </row>
    <row r="66" spans="1:13" s="10" customFormat="1" x14ac:dyDescent="0.25">
      <c r="J66" s="9"/>
      <c r="L66" s="9"/>
    </row>
    <row r="67" spans="1:13" s="10" customFormat="1" x14ac:dyDescent="0.25">
      <c r="J67" s="9"/>
      <c r="L67" s="9"/>
    </row>
    <row r="68" spans="1:13" s="10" customFormat="1" x14ac:dyDescent="0.25">
      <c r="J68" s="9"/>
      <c r="L68" s="9"/>
    </row>
    <row r="69" spans="1:13" s="10" customFormat="1" x14ac:dyDescent="0.25">
      <c r="J69" s="9"/>
      <c r="L69" s="9"/>
    </row>
    <row r="70" spans="1:13" s="10" customFormat="1" x14ac:dyDescent="0.25">
      <c r="J70" s="9"/>
      <c r="L70" s="9"/>
    </row>
    <row r="71" spans="1:13" s="10" customFormat="1" x14ac:dyDescent="0.25">
      <c r="J71" s="9"/>
      <c r="L71" s="9"/>
    </row>
    <row r="72" spans="1:13" s="10" customFormat="1" x14ac:dyDescent="0.25">
      <c r="J72" s="9"/>
      <c r="L72" s="9"/>
    </row>
    <row r="73" spans="1:13" s="10" customFormat="1" x14ac:dyDescent="0.25">
      <c r="J73" s="9"/>
      <c r="L73" s="9"/>
    </row>
    <row r="74" spans="1:13" s="10" customFormat="1" x14ac:dyDescent="0.25">
      <c r="J74" s="9"/>
      <c r="L74" s="9"/>
    </row>
    <row r="75" spans="1:13" s="10" customFormat="1" x14ac:dyDescent="0.25">
      <c r="J75" s="9"/>
      <c r="L75" s="9"/>
    </row>
    <row r="76" spans="1:13" s="11" customFormat="1" x14ac:dyDescent="0.25">
      <c r="C76" s="12"/>
      <c r="E76" s="12"/>
      <c r="I76" s="12"/>
      <c r="K76" s="12"/>
      <c r="M76" s="12"/>
    </row>
    <row r="77" spans="1:13" x14ac:dyDescent="0.25">
      <c r="C77" s="10"/>
    </row>
    <row r="78" spans="1:13" x14ac:dyDescent="0.25">
      <c r="A78" s="13"/>
      <c r="C78" s="10"/>
    </row>
    <row r="79" spans="1:13" x14ac:dyDescent="0.25">
      <c r="C79" s="10"/>
    </row>
    <row r="80" spans="1:13" x14ac:dyDescent="0.25"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84" spans="3:3" x14ac:dyDescent="0.25">
      <c r="C84" s="10"/>
    </row>
    <row r="85" spans="3:3" x14ac:dyDescent="0.25">
      <c r="C85" s="10"/>
    </row>
    <row r="86" spans="3:3" x14ac:dyDescent="0.25">
      <c r="C86" s="10"/>
    </row>
    <row r="87" spans="3:3" x14ac:dyDescent="0.25">
      <c r="C87" s="10"/>
    </row>
    <row r="88" spans="3:3" x14ac:dyDescent="0.25">
      <c r="C88" s="10"/>
    </row>
    <row r="89" spans="3:3" x14ac:dyDescent="0.25">
      <c r="C89" s="10"/>
    </row>
    <row r="90" spans="3:3" x14ac:dyDescent="0.25">
      <c r="C90" s="10"/>
    </row>
    <row r="91" spans="3:3" x14ac:dyDescent="0.25">
      <c r="C91" s="10"/>
    </row>
    <row r="92" spans="3:3" x14ac:dyDescent="0.25">
      <c r="C92" s="10"/>
    </row>
    <row r="93" spans="3:3" x14ac:dyDescent="0.25">
      <c r="C93" s="10"/>
    </row>
    <row r="94" spans="3:3" x14ac:dyDescent="0.25">
      <c r="C94" s="1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2"/>
  <sheetViews>
    <sheetView topLeftCell="C1" workbookViewId="0">
      <pane ySplit="3" topLeftCell="A4" activePane="bottomLeft" state="frozen"/>
      <selection activeCell="D32" sqref="D32"/>
      <selection pane="bottomLeft" activeCell="A8" sqref="A8:M8"/>
    </sheetView>
  </sheetViews>
  <sheetFormatPr baseColWidth="10" defaultColWidth="10.7109375" defaultRowHeight="15" x14ac:dyDescent="0.25"/>
  <cols>
    <col min="1" max="1" width="22.7109375" style="9" customWidth="1"/>
    <col min="2" max="2" width="68.140625" style="9" customWidth="1"/>
    <col min="3" max="3" width="39.85546875" style="9" customWidth="1"/>
    <col min="4" max="4" width="43.28515625" style="9" customWidth="1"/>
    <col min="5" max="5" width="10.7109375" style="10"/>
    <col min="6" max="8" width="10.7109375" style="9"/>
    <col min="9" max="9" width="42.42578125" style="10" customWidth="1"/>
    <col min="10" max="10" width="31.85546875" style="9" customWidth="1"/>
    <col min="11" max="11" width="18" style="10" customWidth="1"/>
    <col min="12" max="12" width="24.5703125" style="9" customWidth="1"/>
    <col min="13" max="13" width="19.28515625" style="10" customWidth="1"/>
    <col min="14" max="16384" width="10.7109375" style="9"/>
  </cols>
  <sheetData>
    <row r="1" spans="1:13" s="11" customFormat="1" x14ac:dyDescent="0.25">
      <c r="A1" s="11" t="s">
        <v>0</v>
      </c>
      <c r="E1" s="12"/>
      <c r="I1" s="12"/>
      <c r="K1" s="12"/>
      <c r="M1" s="12"/>
    </row>
    <row r="3" spans="1:13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I3" s="12" t="s">
        <v>11</v>
      </c>
      <c r="J3" s="11" t="s">
        <v>8</v>
      </c>
      <c r="K3" s="12" t="s">
        <v>9</v>
      </c>
      <c r="L3" s="11" t="s">
        <v>64</v>
      </c>
      <c r="M3" s="12" t="s">
        <v>13</v>
      </c>
    </row>
    <row r="4" spans="1:13" x14ac:dyDescent="0.25">
      <c r="A4" s="5" t="s">
        <v>333</v>
      </c>
      <c r="B4" s="5" t="s">
        <v>334</v>
      </c>
      <c r="C4" s="5" t="s">
        <v>27</v>
      </c>
      <c r="D4" s="5" t="s">
        <v>33</v>
      </c>
      <c r="E4" s="4">
        <v>1450</v>
      </c>
      <c r="F4" s="5"/>
      <c r="G4" s="5"/>
      <c r="H4" s="5"/>
      <c r="I4" s="4" t="s">
        <v>75</v>
      </c>
      <c r="J4" s="4" t="s">
        <v>333</v>
      </c>
      <c r="K4" s="4">
        <v>400</v>
      </c>
      <c r="L4" s="4" t="s">
        <v>335</v>
      </c>
      <c r="M4" s="4">
        <f t="shared" ref="M4:M10" si="0">E4-K4</f>
        <v>1050</v>
      </c>
    </row>
    <row r="5" spans="1:13" x14ac:dyDescent="0.25">
      <c r="A5" s="5" t="s">
        <v>333</v>
      </c>
      <c r="B5" s="5" t="s">
        <v>132</v>
      </c>
      <c r="C5" s="5" t="s">
        <v>27</v>
      </c>
      <c r="D5" s="5" t="s">
        <v>33</v>
      </c>
      <c r="E5" s="4">
        <v>250</v>
      </c>
      <c r="F5" s="5"/>
      <c r="G5" s="5"/>
      <c r="H5" s="5"/>
      <c r="I5" s="4" t="s">
        <v>37</v>
      </c>
      <c r="J5" s="4" t="s">
        <v>37</v>
      </c>
      <c r="K5" s="4">
        <v>0</v>
      </c>
      <c r="L5" s="4" t="s">
        <v>37</v>
      </c>
      <c r="M5" s="4">
        <f t="shared" si="0"/>
        <v>250</v>
      </c>
    </row>
    <row r="6" spans="1:13" x14ac:dyDescent="0.25">
      <c r="A6" s="5" t="s">
        <v>333</v>
      </c>
      <c r="B6" s="5" t="s">
        <v>353</v>
      </c>
      <c r="C6" s="5" t="s">
        <v>27</v>
      </c>
      <c r="D6" s="5" t="s">
        <v>33</v>
      </c>
      <c r="E6" s="4">
        <v>2400</v>
      </c>
      <c r="F6" s="5"/>
      <c r="G6" s="5"/>
      <c r="H6" s="5"/>
      <c r="I6" s="4" t="s">
        <v>75</v>
      </c>
      <c r="J6" s="4" t="s">
        <v>333</v>
      </c>
      <c r="K6" s="4">
        <v>400</v>
      </c>
      <c r="L6" s="4" t="s">
        <v>335</v>
      </c>
      <c r="M6" s="4">
        <f t="shared" si="0"/>
        <v>2000</v>
      </c>
    </row>
    <row r="7" spans="1:13" x14ac:dyDescent="0.25">
      <c r="A7" s="5" t="s">
        <v>342</v>
      </c>
      <c r="B7" s="5" t="s">
        <v>343</v>
      </c>
      <c r="C7" s="5" t="s">
        <v>27</v>
      </c>
      <c r="D7" s="5" t="s">
        <v>344</v>
      </c>
      <c r="E7" s="4">
        <f>1350+550</f>
        <v>1900</v>
      </c>
      <c r="F7" s="5"/>
      <c r="G7" s="5"/>
      <c r="H7" s="5"/>
      <c r="I7" s="4" t="s">
        <v>345</v>
      </c>
      <c r="J7" s="4" t="s">
        <v>342</v>
      </c>
      <c r="K7" s="4">
        <v>450</v>
      </c>
      <c r="L7" s="4" t="s">
        <v>335</v>
      </c>
      <c r="M7" s="4">
        <f t="shared" si="0"/>
        <v>1450</v>
      </c>
    </row>
    <row r="8" spans="1:13" x14ac:dyDescent="0.25">
      <c r="A8" s="5" t="s">
        <v>346</v>
      </c>
      <c r="B8" s="5" t="s">
        <v>347</v>
      </c>
      <c r="C8" s="5" t="s">
        <v>27</v>
      </c>
      <c r="D8" s="5" t="s">
        <v>344</v>
      </c>
      <c r="E8" s="4">
        <v>4500</v>
      </c>
      <c r="F8" s="5"/>
      <c r="G8" s="5"/>
      <c r="H8" s="5"/>
      <c r="I8" s="4" t="s">
        <v>348</v>
      </c>
      <c r="J8" s="4" t="s">
        <v>346</v>
      </c>
      <c r="K8" s="4">
        <v>2216.48</v>
      </c>
      <c r="L8" s="4" t="s">
        <v>335</v>
      </c>
      <c r="M8" s="4">
        <f t="shared" si="0"/>
        <v>2283.52</v>
      </c>
    </row>
    <row r="9" spans="1:13" x14ac:dyDescent="0.25">
      <c r="A9" s="5" t="s">
        <v>349</v>
      </c>
      <c r="B9" s="5" t="s">
        <v>350</v>
      </c>
      <c r="C9" s="5" t="s">
        <v>27</v>
      </c>
      <c r="D9" s="5" t="s">
        <v>33</v>
      </c>
      <c r="E9" s="4">
        <v>250</v>
      </c>
      <c r="F9" s="5"/>
      <c r="G9" s="5"/>
      <c r="H9" s="5"/>
      <c r="I9" s="4" t="s">
        <v>37</v>
      </c>
      <c r="J9" s="4" t="s">
        <v>37</v>
      </c>
      <c r="K9" s="4">
        <v>0</v>
      </c>
      <c r="L9" s="4" t="s">
        <v>37</v>
      </c>
      <c r="M9" s="4">
        <f t="shared" si="0"/>
        <v>250</v>
      </c>
    </row>
    <row r="10" spans="1:13" x14ac:dyDescent="0.25">
      <c r="A10" s="5" t="s">
        <v>349</v>
      </c>
      <c r="B10" s="5" t="s">
        <v>351</v>
      </c>
      <c r="C10" s="5" t="s">
        <v>27</v>
      </c>
      <c r="D10" s="5" t="s">
        <v>352</v>
      </c>
      <c r="E10" s="4">
        <v>1250</v>
      </c>
      <c r="F10" s="5"/>
      <c r="G10" s="5"/>
      <c r="H10" s="5"/>
      <c r="I10" s="4" t="s">
        <v>37</v>
      </c>
      <c r="J10" s="4" t="s">
        <v>37</v>
      </c>
      <c r="K10" s="4">
        <v>0</v>
      </c>
      <c r="L10" s="4" t="s">
        <v>37</v>
      </c>
      <c r="M10" s="4">
        <f t="shared" si="0"/>
        <v>1250</v>
      </c>
    </row>
    <row r="11" spans="1:13" x14ac:dyDescent="0.25">
      <c r="A11" s="5" t="s">
        <v>354</v>
      </c>
      <c r="B11" s="5" t="s">
        <v>132</v>
      </c>
      <c r="C11" s="5" t="s">
        <v>27</v>
      </c>
      <c r="D11" s="5" t="s">
        <v>344</v>
      </c>
      <c r="E11" s="4">
        <v>300</v>
      </c>
      <c r="F11" s="5"/>
      <c r="G11" s="5"/>
      <c r="H11" s="18"/>
      <c r="I11" s="4" t="s">
        <v>37</v>
      </c>
      <c r="J11" s="4" t="s">
        <v>37</v>
      </c>
      <c r="K11" s="4">
        <v>0</v>
      </c>
      <c r="L11" s="4" t="s">
        <v>37</v>
      </c>
      <c r="M11" s="4">
        <f t="shared" ref="M11:M19" si="1">E11-K11</f>
        <v>300</v>
      </c>
    </row>
    <row r="12" spans="1:13" x14ac:dyDescent="0.25">
      <c r="A12" s="5" t="s">
        <v>355</v>
      </c>
      <c r="B12" s="5" t="s">
        <v>356</v>
      </c>
      <c r="C12" s="5" t="s">
        <v>7</v>
      </c>
      <c r="D12" s="5" t="s">
        <v>33</v>
      </c>
      <c r="E12" s="4">
        <v>1450</v>
      </c>
      <c r="F12" s="5"/>
      <c r="G12" s="5"/>
      <c r="H12" s="18"/>
      <c r="I12" s="4" t="s">
        <v>75</v>
      </c>
      <c r="J12" s="4" t="s">
        <v>355</v>
      </c>
      <c r="K12" s="4">
        <v>400</v>
      </c>
      <c r="L12" s="4" t="s">
        <v>335</v>
      </c>
      <c r="M12" s="4">
        <f t="shared" si="1"/>
        <v>1050</v>
      </c>
    </row>
    <row r="13" spans="1:13" x14ac:dyDescent="0.25">
      <c r="A13" s="5" t="s">
        <v>354</v>
      </c>
      <c r="B13" s="5" t="s">
        <v>357</v>
      </c>
      <c r="C13" s="5" t="s">
        <v>27</v>
      </c>
      <c r="D13" s="5" t="s">
        <v>344</v>
      </c>
      <c r="E13" s="4">
        <v>2165</v>
      </c>
      <c r="F13" s="5"/>
      <c r="G13" s="5"/>
      <c r="H13" s="18"/>
      <c r="I13" s="4" t="s">
        <v>358</v>
      </c>
      <c r="J13" s="4" t="s">
        <v>355</v>
      </c>
      <c r="K13" s="4">
        <v>1120</v>
      </c>
      <c r="L13" s="4" t="s">
        <v>335</v>
      </c>
      <c r="M13" s="4">
        <f t="shared" si="1"/>
        <v>1045</v>
      </c>
    </row>
    <row r="14" spans="1:13" x14ac:dyDescent="0.25">
      <c r="A14" s="5" t="s">
        <v>359</v>
      </c>
      <c r="B14" s="5" t="s">
        <v>360</v>
      </c>
      <c r="C14" s="5" t="s">
        <v>27</v>
      </c>
      <c r="D14" s="5" t="s">
        <v>33</v>
      </c>
      <c r="E14" s="4">
        <v>1450</v>
      </c>
      <c r="F14" s="5"/>
      <c r="G14" s="5"/>
      <c r="H14" s="18"/>
      <c r="I14" s="4" t="s">
        <v>361</v>
      </c>
      <c r="J14" s="4" t="s">
        <v>359</v>
      </c>
      <c r="K14" s="4">
        <v>1050</v>
      </c>
      <c r="L14" s="4" t="s">
        <v>335</v>
      </c>
      <c r="M14" s="4">
        <f t="shared" si="1"/>
        <v>400</v>
      </c>
    </row>
    <row r="15" spans="1:13" x14ac:dyDescent="0.25">
      <c r="A15" s="5" t="s">
        <v>359</v>
      </c>
      <c r="B15" s="5" t="s">
        <v>362</v>
      </c>
      <c r="C15" s="5" t="s">
        <v>27</v>
      </c>
      <c r="D15" s="5" t="s">
        <v>33</v>
      </c>
      <c r="E15" s="4">
        <v>1770</v>
      </c>
      <c r="F15" s="5"/>
      <c r="G15" s="5"/>
      <c r="H15" s="18"/>
      <c r="I15" s="4" t="s">
        <v>178</v>
      </c>
      <c r="J15" s="4" t="s">
        <v>359</v>
      </c>
      <c r="K15" s="4">
        <v>663</v>
      </c>
      <c r="L15" s="4" t="s">
        <v>335</v>
      </c>
      <c r="M15" s="4">
        <f t="shared" si="1"/>
        <v>1107</v>
      </c>
    </row>
    <row r="16" spans="1:13" x14ac:dyDescent="0.25">
      <c r="A16" s="5" t="s">
        <v>363</v>
      </c>
      <c r="B16" s="5" t="s">
        <v>299</v>
      </c>
      <c r="C16" s="5" t="s">
        <v>27</v>
      </c>
      <c r="D16" s="5" t="s">
        <v>33</v>
      </c>
      <c r="E16" s="4">
        <v>1570</v>
      </c>
      <c r="F16" s="5"/>
      <c r="G16" s="5"/>
      <c r="H16" s="18"/>
      <c r="I16" s="4" t="s">
        <v>364</v>
      </c>
      <c r="J16" s="4" t="s">
        <v>363</v>
      </c>
      <c r="K16" s="4">
        <v>599</v>
      </c>
      <c r="L16" s="4" t="s">
        <v>335</v>
      </c>
      <c r="M16" s="4">
        <f t="shared" si="1"/>
        <v>971</v>
      </c>
    </row>
    <row r="17" spans="1:13" x14ac:dyDescent="0.25">
      <c r="A17" s="5" t="s">
        <v>359</v>
      </c>
      <c r="B17" s="5" t="s">
        <v>365</v>
      </c>
      <c r="C17" s="5" t="s">
        <v>27</v>
      </c>
      <c r="D17" s="5" t="s">
        <v>33</v>
      </c>
      <c r="E17" s="4">
        <v>6500</v>
      </c>
      <c r="F17" s="5"/>
      <c r="G17" s="5"/>
      <c r="H17" s="18"/>
      <c r="I17" s="4" t="s">
        <v>366</v>
      </c>
      <c r="J17" s="4" t="s">
        <v>363</v>
      </c>
      <c r="K17" s="4">
        <v>4409</v>
      </c>
      <c r="L17" s="4" t="s">
        <v>335</v>
      </c>
      <c r="M17" s="4">
        <f t="shared" si="1"/>
        <v>2091</v>
      </c>
    </row>
    <row r="18" spans="1:13" x14ac:dyDescent="0.25">
      <c r="A18" s="5" t="s">
        <v>359</v>
      </c>
      <c r="B18" s="5" t="s">
        <v>367</v>
      </c>
      <c r="C18" s="5" t="s">
        <v>27</v>
      </c>
      <c r="D18" s="5" t="s">
        <v>368</v>
      </c>
      <c r="E18" s="4">
        <v>600</v>
      </c>
      <c r="F18" s="5"/>
      <c r="G18" s="5"/>
      <c r="H18" s="18"/>
      <c r="I18" s="4" t="s">
        <v>37</v>
      </c>
      <c r="J18" s="4" t="s">
        <v>37</v>
      </c>
      <c r="K18" s="4">
        <v>0</v>
      </c>
      <c r="L18" s="4" t="s">
        <v>37</v>
      </c>
      <c r="M18" s="4">
        <f t="shared" si="1"/>
        <v>600</v>
      </c>
    </row>
    <row r="19" spans="1:13" x14ac:dyDescent="0.25">
      <c r="A19" s="5" t="s">
        <v>363</v>
      </c>
      <c r="B19" s="5" t="s">
        <v>369</v>
      </c>
      <c r="C19" s="5" t="s">
        <v>27</v>
      </c>
      <c r="D19" s="5" t="s">
        <v>33</v>
      </c>
      <c r="E19" s="4">
        <v>2475</v>
      </c>
      <c r="F19" s="5"/>
      <c r="G19" s="5"/>
      <c r="H19" s="18"/>
      <c r="I19" s="4" t="s">
        <v>370</v>
      </c>
      <c r="J19" s="4" t="s">
        <v>363</v>
      </c>
      <c r="K19" s="4">
        <v>1975</v>
      </c>
      <c r="L19" s="4" t="s">
        <v>335</v>
      </c>
      <c r="M19" s="4">
        <f t="shared" si="1"/>
        <v>500</v>
      </c>
    </row>
    <row r="20" spans="1:13" x14ac:dyDescent="0.25">
      <c r="A20" s="5" t="s">
        <v>371</v>
      </c>
      <c r="B20" s="5" t="s">
        <v>372</v>
      </c>
      <c r="C20" s="5" t="s">
        <v>27</v>
      </c>
      <c r="D20" s="5" t="s">
        <v>33</v>
      </c>
      <c r="E20" s="4">
        <f>1750+1100+450</f>
        <v>3300</v>
      </c>
      <c r="F20" s="5"/>
      <c r="G20" s="5"/>
      <c r="H20" s="18"/>
      <c r="I20" s="4" t="s">
        <v>373</v>
      </c>
      <c r="J20" s="4" t="s">
        <v>363</v>
      </c>
      <c r="K20" s="4">
        <v>1938</v>
      </c>
      <c r="L20" s="4" t="s">
        <v>335</v>
      </c>
      <c r="M20" s="4">
        <f t="shared" ref="M20:M25" si="2">E20-K20</f>
        <v>1362</v>
      </c>
    </row>
    <row r="21" spans="1:13" x14ac:dyDescent="0.25">
      <c r="A21" s="5" t="s">
        <v>374</v>
      </c>
      <c r="B21" s="5" t="s">
        <v>375</v>
      </c>
      <c r="C21" s="5" t="s">
        <v>27</v>
      </c>
      <c r="D21" s="5" t="s">
        <v>33</v>
      </c>
      <c r="E21" s="4">
        <v>400</v>
      </c>
      <c r="F21" s="5"/>
      <c r="G21" s="5"/>
      <c r="H21" s="18"/>
      <c r="I21" s="4" t="s">
        <v>376</v>
      </c>
      <c r="J21" s="4" t="s">
        <v>374</v>
      </c>
      <c r="K21" s="4">
        <v>160</v>
      </c>
      <c r="L21" s="4" t="s">
        <v>335</v>
      </c>
      <c r="M21" s="4">
        <f t="shared" si="2"/>
        <v>240</v>
      </c>
    </row>
    <row r="22" spans="1:13" x14ac:dyDescent="0.25">
      <c r="A22" s="5" t="s">
        <v>374</v>
      </c>
      <c r="B22" s="5" t="s">
        <v>377</v>
      </c>
      <c r="C22" s="5" t="s">
        <v>27</v>
      </c>
      <c r="D22" s="5" t="s">
        <v>33</v>
      </c>
      <c r="E22" s="4">
        <v>1450</v>
      </c>
      <c r="F22" s="5"/>
      <c r="G22" s="5"/>
      <c r="H22" s="18"/>
      <c r="I22" s="4" t="s">
        <v>75</v>
      </c>
      <c r="J22" s="4" t="s">
        <v>378</v>
      </c>
      <c r="K22" s="4">
        <v>400</v>
      </c>
      <c r="L22" s="4" t="s">
        <v>335</v>
      </c>
      <c r="M22" s="4">
        <f t="shared" si="2"/>
        <v>1050</v>
      </c>
    </row>
    <row r="23" spans="1:13" x14ac:dyDescent="0.25">
      <c r="A23" s="5" t="s">
        <v>379</v>
      </c>
      <c r="B23" s="5" t="s">
        <v>380</v>
      </c>
      <c r="C23" s="5" t="s">
        <v>27</v>
      </c>
      <c r="D23" s="5" t="s">
        <v>381</v>
      </c>
      <c r="E23" s="4">
        <v>600</v>
      </c>
      <c r="F23" s="5"/>
      <c r="G23" s="5"/>
      <c r="H23" s="18"/>
      <c r="I23" s="4" t="s">
        <v>37</v>
      </c>
      <c r="J23" s="4" t="s">
        <v>37</v>
      </c>
      <c r="K23" s="4">
        <v>0</v>
      </c>
      <c r="L23" s="4" t="s">
        <v>37</v>
      </c>
      <c r="M23" s="4">
        <f t="shared" si="2"/>
        <v>600</v>
      </c>
    </row>
    <row r="24" spans="1:13" x14ac:dyDescent="0.25">
      <c r="A24" s="5" t="s">
        <v>379</v>
      </c>
      <c r="B24" s="5" t="s">
        <v>382</v>
      </c>
      <c r="C24" s="5" t="s">
        <v>27</v>
      </c>
      <c r="D24" s="5" t="s">
        <v>381</v>
      </c>
      <c r="E24" s="4">
        <v>350</v>
      </c>
      <c r="F24" s="5"/>
      <c r="G24" s="5"/>
      <c r="H24" s="18"/>
      <c r="I24" s="4" t="s">
        <v>37</v>
      </c>
      <c r="J24" s="4" t="s">
        <v>37</v>
      </c>
      <c r="K24" s="4">
        <v>0</v>
      </c>
      <c r="L24" s="4" t="s">
        <v>37</v>
      </c>
      <c r="M24" s="4">
        <f t="shared" si="2"/>
        <v>350</v>
      </c>
    </row>
    <row r="25" spans="1:13" x14ac:dyDescent="0.25">
      <c r="A25" s="5" t="s">
        <v>379</v>
      </c>
      <c r="B25" s="5" t="s">
        <v>382</v>
      </c>
      <c r="C25" s="5" t="s">
        <v>27</v>
      </c>
      <c r="D25" s="5" t="s">
        <v>383</v>
      </c>
      <c r="E25" s="4">
        <v>650</v>
      </c>
      <c r="F25" s="5"/>
      <c r="G25" s="5"/>
      <c r="H25" s="18"/>
      <c r="I25" s="4" t="s">
        <v>37</v>
      </c>
      <c r="J25" s="4" t="s">
        <v>37</v>
      </c>
      <c r="K25" s="4">
        <v>0</v>
      </c>
      <c r="L25" s="4" t="s">
        <v>37</v>
      </c>
      <c r="M25" s="4">
        <f t="shared" si="2"/>
        <v>650</v>
      </c>
    </row>
    <row r="26" spans="1:13" x14ac:dyDescent="0.25">
      <c r="A26" s="5" t="s">
        <v>379</v>
      </c>
      <c r="B26" s="5" t="s">
        <v>382</v>
      </c>
      <c r="C26" s="5" t="s">
        <v>27</v>
      </c>
      <c r="D26" s="5" t="s">
        <v>381</v>
      </c>
      <c r="E26" s="4">
        <f>400*3</f>
        <v>1200</v>
      </c>
      <c r="F26" s="5"/>
      <c r="G26" s="5"/>
      <c r="H26" s="18"/>
      <c r="I26" s="4" t="s">
        <v>37</v>
      </c>
      <c r="J26" s="4" t="s">
        <v>37</v>
      </c>
      <c r="K26" s="4">
        <v>0</v>
      </c>
      <c r="L26" s="4" t="s">
        <v>37</v>
      </c>
      <c r="M26" s="4">
        <f t="shared" ref="M26" si="3">E26-K26</f>
        <v>1200</v>
      </c>
    </row>
    <row r="27" spans="1:13" x14ac:dyDescent="0.25">
      <c r="H27" s="16"/>
      <c r="J27" s="10"/>
      <c r="L27" s="10"/>
    </row>
    <row r="28" spans="1:13" x14ac:dyDescent="0.25">
      <c r="H28" s="16"/>
      <c r="J28" s="10"/>
      <c r="L28" s="10"/>
    </row>
    <row r="29" spans="1:13" x14ac:dyDescent="0.25">
      <c r="L29" s="10"/>
    </row>
    <row r="30" spans="1:13" x14ac:dyDescent="0.25">
      <c r="L30" s="10"/>
    </row>
    <row r="33" spans="1:13" x14ac:dyDescent="0.25">
      <c r="D33" s="16"/>
    </row>
    <row r="35" spans="1:13" x14ac:dyDescent="0.25">
      <c r="J35" s="16"/>
    </row>
    <row r="44" spans="1:13" x14ac:dyDescent="0.25">
      <c r="H44" s="16"/>
    </row>
    <row r="45" spans="1:13" s="11" customFormat="1" x14ac:dyDescent="0.25">
      <c r="A45" s="11" t="s">
        <v>389</v>
      </c>
      <c r="E45" s="12"/>
      <c r="H45" s="17"/>
      <c r="I45" s="12"/>
      <c r="K45" s="12"/>
      <c r="M45" s="12"/>
    </row>
    <row r="46" spans="1:13" x14ac:dyDescent="0.25">
      <c r="F46" s="16"/>
      <c r="H46" s="16"/>
    </row>
    <row r="47" spans="1:13" x14ac:dyDescent="0.25">
      <c r="A47" s="5" t="s">
        <v>336</v>
      </c>
      <c r="B47" s="5" t="s">
        <v>108</v>
      </c>
      <c r="C47" s="4">
        <v>1200</v>
      </c>
      <c r="J47" s="10"/>
      <c r="L47" s="10"/>
    </row>
    <row r="48" spans="1:13" x14ac:dyDescent="0.25">
      <c r="A48" s="5" t="s">
        <v>336</v>
      </c>
      <c r="B48" s="5" t="s">
        <v>297</v>
      </c>
      <c r="C48" s="4">
        <v>1000</v>
      </c>
      <c r="H48" s="16"/>
    </row>
    <row r="49" spans="1:12" x14ac:dyDescent="0.25">
      <c r="A49" s="5" t="s">
        <v>337</v>
      </c>
      <c r="B49" s="5" t="s">
        <v>206</v>
      </c>
      <c r="C49" s="4">
        <v>6000</v>
      </c>
    </row>
    <row r="50" spans="1:12" x14ac:dyDescent="0.25">
      <c r="A50" s="9" t="s">
        <v>337</v>
      </c>
      <c r="B50" s="9" t="s">
        <v>237</v>
      </c>
      <c r="C50" s="10">
        <v>2500</v>
      </c>
      <c r="H50" s="16"/>
    </row>
    <row r="51" spans="1:12" x14ac:dyDescent="0.25">
      <c r="A51" s="9" t="s">
        <v>337</v>
      </c>
      <c r="B51" s="9" t="s">
        <v>72</v>
      </c>
      <c r="C51" s="10">
        <v>600</v>
      </c>
    </row>
    <row r="52" spans="1:12" x14ac:dyDescent="0.25">
      <c r="A52" s="9" t="s">
        <v>337</v>
      </c>
      <c r="B52" s="9" t="s">
        <v>243</v>
      </c>
      <c r="C52" s="10">
        <f>2000-1000</f>
        <v>1000</v>
      </c>
    </row>
    <row r="53" spans="1:12" x14ac:dyDescent="0.25">
      <c r="A53" s="5" t="s">
        <v>338</v>
      </c>
      <c r="B53" s="5" t="s">
        <v>108</v>
      </c>
      <c r="C53" s="4">
        <v>1200</v>
      </c>
    </row>
    <row r="54" spans="1:12" x14ac:dyDescent="0.25">
      <c r="A54" s="5" t="s">
        <v>338</v>
      </c>
      <c r="B54" s="5" t="s">
        <v>297</v>
      </c>
      <c r="C54" s="4">
        <v>1000</v>
      </c>
    </row>
    <row r="55" spans="1:12" s="10" customFormat="1" x14ac:dyDescent="0.25">
      <c r="A55" s="5" t="s">
        <v>339</v>
      </c>
      <c r="B55" s="5" t="s">
        <v>108</v>
      </c>
      <c r="C55" s="4">
        <v>1200</v>
      </c>
      <c r="D55" s="9"/>
      <c r="F55" s="9"/>
      <c r="G55" s="9"/>
      <c r="H55" s="9"/>
      <c r="J55" s="9"/>
      <c r="L55" s="9"/>
    </row>
    <row r="56" spans="1:12" s="10" customFormat="1" x14ac:dyDescent="0.25">
      <c r="A56" s="5" t="s">
        <v>339</v>
      </c>
      <c r="B56" s="5" t="s">
        <v>297</v>
      </c>
      <c r="C56" s="4">
        <v>1000</v>
      </c>
      <c r="D56" s="9"/>
      <c r="F56" s="9"/>
      <c r="G56" s="9"/>
      <c r="H56" s="9"/>
      <c r="J56" s="9"/>
      <c r="L56" s="9"/>
    </row>
    <row r="57" spans="1:12" s="10" customFormat="1" x14ac:dyDescent="0.25">
      <c r="A57" s="5" t="s">
        <v>340</v>
      </c>
      <c r="B57" s="5" t="s">
        <v>108</v>
      </c>
      <c r="C57" s="4">
        <v>1200</v>
      </c>
      <c r="D57" s="9"/>
      <c r="F57" s="9"/>
      <c r="G57" s="9"/>
      <c r="H57" s="9"/>
      <c r="J57" s="9"/>
      <c r="L57" s="9"/>
    </row>
    <row r="58" spans="1:12" s="10" customFormat="1" x14ac:dyDescent="0.25">
      <c r="A58" s="5" t="s">
        <v>340</v>
      </c>
      <c r="B58" s="5" t="s">
        <v>297</v>
      </c>
      <c r="C58" s="4">
        <v>1000</v>
      </c>
      <c r="D58" s="9"/>
      <c r="F58" s="9"/>
      <c r="G58" s="9"/>
      <c r="H58" s="9"/>
    </row>
    <row r="59" spans="1:12" s="10" customFormat="1" x14ac:dyDescent="0.25">
      <c r="A59" s="9" t="s">
        <v>337</v>
      </c>
      <c r="B59" s="9" t="s">
        <v>341</v>
      </c>
      <c r="C59" s="10">
        <v>3000</v>
      </c>
      <c r="D59" s="9"/>
      <c r="F59" s="9"/>
      <c r="G59" s="9"/>
      <c r="H59" s="9"/>
    </row>
    <row r="60" spans="1:12" s="10" customFormat="1" x14ac:dyDescent="0.25">
      <c r="A60" s="9"/>
      <c r="B60" s="9"/>
      <c r="D60" s="9"/>
      <c r="F60" s="9"/>
      <c r="G60" s="9"/>
      <c r="H60" s="9"/>
    </row>
    <row r="61" spans="1:12" s="10" customFormat="1" x14ac:dyDescent="0.25">
      <c r="A61" s="9"/>
      <c r="B61" s="9"/>
      <c r="D61" s="9"/>
      <c r="F61" s="9"/>
      <c r="G61" s="9"/>
      <c r="H61" s="9"/>
    </row>
    <row r="62" spans="1:12" s="10" customFormat="1" x14ac:dyDescent="0.25">
      <c r="A62" s="9"/>
      <c r="B62" s="9"/>
      <c r="C62" s="9"/>
      <c r="D62" s="9"/>
      <c r="F62" s="9"/>
      <c r="G62" s="9"/>
      <c r="H62" s="9"/>
    </row>
    <row r="63" spans="1:12" s="10" customFormat="1" x14ac:dyDescent="0.25"/>
    <row r="64" spans="1:12" s="10" customFormat="1" x14ac:dyDescent="0.25"/>
    <row r="65" spans="10:12" s="10" customFormat="1" x14ac:dyDescent="0.25"/>
    <row r="66" spans="10:12" s="10" customFormat="1" x14ac:dyDescent="0.25"/>
    <row r="67" spans="10:12" s="10" customFormat="1" x14ac:dyDescent="0.25"/>
    <row r="68" spans="10:12" s="10" customFormat="1" x14ac:dyDescent="0.25"/>
    <row r="69" spans="10:12" s="10" customFormat="1" x14ac:dyDescent="0.25"/>
    <row r="70" spans="10:12" s="10" customFormat="1" x14ac:dyDescent="0.25">
      <c r="J70" s="9"/>
      <c r="L70" s="9"/>
    </row>
    <row r="71" spans="10:12" s="10" customFormat="1" x14ac:dyDescent="0.25">
      <c r="J71" s="9"/>
      <c r="L71" s="9"/>
    </row>
    <row r="72" spans="10:12" s="10" customFormat="1" x14ac:dyDescent="0.25">
      <c r="J72" s="9"/>
      <c r="L72" s="9"/>
    </row>
    <row r="73" spans="10:12" s="10" customFormat="1" x14ac:dyDescent="0.25">
      <c r="J73" s="9"/>
      <c r="L73" s="9"/>
    </row>
    <row r="74" spans="10:12" s="10" customFormat="1" x14ac:dyDescent="0.25">
      <c r="J74" s="9"/>
      <c r="L74" s="9"/>
    </row>
    <row r="75" spans="10:12" s="10" customFormat="1" x14ac:dyDescent="0.25">
      <c r="J75" s="9"/>
      <c r="L75" s="9"/>
    </row>
    <row r="76" spans="10:12" s="10" customFormat="1" x14ac:dyDescent="0.25">
      <c r="J76" s="9"/>
      <c r="L76" s="9"/>
    </row>
    <row r="77" spans="10:12" s="10" customFormat="1" x14ac:dyDescent="0.25">
      <c r="J77" s="9"/>
      <c r="L77" s="9"/>
    </row>
    <row r="78" spans="10:12" s="10" customFormat="1" x14ac:dyDescent="0.25">
      <c r="J78" s="9"/>
      <c r="L78" s="9"/>
    </row>
    <row r="79" spans="10:12" s="10" customFormat="1" x14ac:dyDescent="0.25">
      <c r="J79" s="9"/>
      <c r="L79" s="9"/>
    </row>
    <row r="80" spans="10:12" s="10" customFormat="1" x14ac:dyDescent="0.25">
      <c r="J80" s="9"/>
      <c r="L80" s="9"/>
    </row>
    <row r="81" spans="1:13" s="10" customFormat="1" x14ac:dyDescent="0.25">
      <c r="J81" s="9"/>
      <c r="L81" s="9"/>
    </row>
    <row r="82" spans="1:13" s="10" customFormat="1" x14ac:dyDescent="0.25">
      <c r="J82" s="9"/>
      <c r="L82" s="9"/>
    </row>
    <row r="83" spans="1:13" s="10" customFormat="1" x14ac:dyDescent="0.25">
      <c r="J83" s="9"/>
      <c r="L83" s="9"/>
    </row>
    <row r="84" spans="1:13" s="11" customFormat="1" x14ac:dyDescent="0.25">
      <c r="C84" s="12"/>
      <c r="E84" s="12"/>
      <c r="I84" s="12"/>
      <c r="K84" s="12"/>
      <c r="M84" s="12"/>
    </row>
    <row r="85" spans="1:13" x14ac:dyDescent="0.25">
      <c r="C85" s="10"/>
    </row>
    <row r="86" spans="1:13" x14ac:dyDescent="0.25">
      <c r="A86" s="13"/>
      <c r="C86" s="10"/>
    </row>
    <row r="87" spans="1:13" x14ac:dyDescent="0.25">
      <c r="C87" s="10"/>
    </row>
    <row r="88" spans="1:13" x14ac:dyDescent="0.25">
      <c r="C88" s="10"/>
    </row>
    <row r="89" spans="1:13" x14ac:dyDescent="0.25">
      <c r="C89" s="10"/>
    </row>
    <row r="90" spans="1:13" x14ac:dyDescent="0.25">
      <c r="C90" s="10"/>
    </row>
    <row r="91" spans="1:13" x14ac:dyDescent="0.25">
      <c r="C91" s="10"/>
    </row>
    <row r="92" spans="1:13" x14ac:dyDescent="0.25">
      <c r="C92" s="10"/>
    </row>
    <row r="93" spans="1:13" x14ac:dyDescent="0.25">
      <c r="C93" s="10"/>
    </row>
    <row r="94" spans="1:13" x14ac:dyDescent="0.25">
      <c r="C94" s="10"/>
    </row>
    <row r="95" spans="1:13" x14ac:dyDescent="0.25">
      <c r="C95" s="10"/>
    </row>
    <row r="96" spans="1:13" x14ac:dyDescent="0.25">
      <c r="C96" s="10"/>
    </row>
    <row r="97" spans="3:3" x14ac:dyDescent="0.25">
      <c r="C97" s="10"/>
    </row>
    <row r="98" spans="3:3" x14ac:dyDescent="0.25">
      <c r="C98" s="10"/>
    </row>
    <row r="99" spans="3:3" x14ac:dyDescent="0.25">
      <c r="C99" s="10"/>
    </row>
    <row r="100" spans="3:3" x14ac:dyDescent="0.25">
      <c r="C100" s="10"/>
    </row>
    <row r="101" spans="3:3" x14ac:dyDescent="0.25">
      <c r="C101" s="10"/>
    </row>
    <row r="102" spans="3:3" x14ac:dyDescent="0.25">
      <c r="C102" s="1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96"/>
  <sheetViews>
    <sheetView workbookViewId="0">
      <pane ySplit="3" topLeftCell="A4" activePane="bottomLeft" state="frozen"/>
      <selection activeCell="K26" activeCellId="1" sqref="K29:K30 K26"/>
      <selection pane="bottomLeft" activeCell="A12" sqref="A12:B29"/>
    </sheetView>
  </sheetViews>
  <sheetFormatPr baseColWidth="10" defaultColWidth="10.7109375" defaultRowHeight="15" x14ac:dyDescent="0.25"/>
  <cols>
    <col min="1" max="1" width="22.7109375" style="9" customWidth="1"/>
    <col min="2" max="2" width="68.140625" style="9" customWidth="1"/>
    <col min="3" max="3" width="39.85546875" style="9" customWidth="1"/>
    <col min="4" max="4" width="43.28515625" style="9" customWidth="1"/>
    <col min="5" max="5" width="10.7109375" style="10"/>
    <col min="6" max="8" width="10.7109375" style="9"/>
    <col min="9" max="9" width="42.42578125" style="10" customWidth="1"/>
    <col min="10" max="10" width="31.85546875" style="9" customWidth="1"/>
    <col min="11" max="11" width="18" style="10" customWidth="1"/>
    <col min="12" max="12" width="24.5703125" style="9" customWidth="1"/>
    <col min="13" max="13" width="19.28515625" style="10" customWidth="1"/>
    <col min="14" max="16384" width="10.7109375" style="9"/>
  </cols>
  <sheetData>
    <row r="1" spans="1:13" s="11" customFormat="1" x14ac:dyDescent="0.25">
      <c r="A1" s="11" t="s">
        <v>0</v>
      </c>
      <c r="E1" s="12"/>
      <c r="I1" s="12"/>
      <c r="K1" s="12"/>
      <c r="M1" s="12"/>
    </row>
    <row r="3" spans="1:13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I3" s="12" t="s">
        <v>11</v>
      </c>
      <c r="J3" s="11" t="s">
        <v>8</v>
      </c>
      <c r="K3" s="12" t="s">
        <v>9</v>
      </c>
      <c r="L3" s="11" t="s">
        <v>64</v>
      </c>
      <c r="M3" s="12" t="s">
        <v>13</v>
      </c>
    </row>
    <row r="4" spans="1:13" x14ac:dyDescent="0.25">
      <c r="A4" s="5" t="s">
        <v>384</v>
      </c>
      <c r="B4" s="5" t="s">
        <v>399</v>
      </c>
      <c r="C4" s="5" t="s">
        <v>27</v>
      </c>
      <c r="D4" s="5" t="s">
        <v>33</v>
      </c>
      <c r="E4" s="4">
        <v>1900</v>
      </c>
      <c r="F4" s="5"/>
      <c r="G4" s="5"/>
      <c r="H4" s="5"/>
      <c r="I4" s="4" t="s">
        <v>75</v>
      </c>
      <c r="J4" s="4" t="s">
        <v>385</v>
      </c>
      <c r="K4" s="4">
        <v>400</v>
      </c>
      <c r="L4" s="4" t="s">
        <v>335</v>
      </c>
      <c r="M4" s="4">
        <f t="shared" ref="M4:M17" si="0">E4-K4</f>
        <v>1500</v>
      </c>
    </row>
    <row r="5" spans="1:13" x14ac:dyDescent="0.25">
      <c r="A5" s="5" t="s">
        <v>384</v>
      </c>
      <c r="B5" s="5" t="s">
        <v>386</v>
      </c>
      <c r="C5" s="5" t="s">
        <v>27</v>
      </c>
      <c r="D5" s="5" t="s">
        <v>387</v>
      </c>
      <c r="E5" s="4">
        <v>400</v>
      </c>
      <c r="F5" s="5"/>
      <c r="G5" s="5"/>
      <c r="H5" s="5"/>
      <c r="I5" s="4" t="s">
        <v>37</v>
      </c>
      <c r="J5" s="4" t="s">
        <v>37</v>
      </c>
      <c r="K5" s="4">
        <v>0</v>
      </c>
      <c r="L5" s="4" t="s">
        <v>37</v>
      </c>
      <c r="M5" s="4">
        <f t="shared" si="0"/>
        <v>400</v>
      </c>
    </row>
    <row r="6" spans="1:13" x14ac:dyDescent="0.25">
      <c r="A6" s="5" t="s">
        <v>384</v>
      </c>
      <c r="B6" s="5" t="s">
        <v>400</v>
      </c>
      <c r="C6" s="5" t="s">
        <v>27</v>
      </c>
      <c r="D6" s="5" t="s">
        <v>33</v>
      </c>
      <c r="E6" s="4">
        <v>1850</v>
      </c>
      <c r="F6" s="5"/>
      <c r="G6" s="5"/>
      <c r="H6" s="5"/>
      <c r="I6" s="4" t="s">
        <v>75</v>
      </c>
      <c r="J6" s="4" t="s">
        <v>385</v>
      </c>
      <c r="K6" s="4">
        <v>500</v>
      </c>
      <c r="L6" s="4" t="s">
        <v>335</v>
      </c>
      <c r="M6" s="4">
        <f>E6-K6</f>
        <v>1350</v>
      </c>
    </row>
    <row r="7" spans="1:13" x14ac:dyDescent="0.25">
      <c r="A7" s="5" t="s">
        <v>401</v>
      </c>
      <c r="B7" s="5" t="s">
        <v>402</v>
      </c>
      <c r="C7" s="5" t="s">
        <v>27</v>
      </c>
      <c r="D7" s="5" t="s">
        <v>33</v>
      </c>
      <c r="E7" s="4">
        <v>1350</v>
      </c>
      <c r="F7" s="5"/>
      <c r="G7" s="5"/>
      <c r="H7" s="5"/>
      <c r="I7" s="4" t="s">
        <v>37</v>
      </c>
      <c r="J7" s="4" t="s">
        <v>37</v>
      </c>
      <c r="K7" s="4">
        <v>700</v>
      </c>
      <c r="L7" s="4" t="s">
        <v>403</v>
      </c>
      <c r="M7" s="4">
        <f t="shared" si="0"/>
        <v>650</v>
      </c>
    </row>
    <row r="8" spans="1:13" x14ac:dyDescent="0.25">
      <c r="A8" s="5" t="s">
        <v>404</v>
      </c>
      <c r="B8" s="5" t="s">
        <v>405</v>
      </c>
      <c r="C8" s="5" t="s">
        <v>27</v>
      </c>
      <c r="D8" s="5" t="s">
        <v>33</v>
      </c>
      <c r="E8" s="4">
        <v>600</v>
      </c>
      <c r="F8" s="5"/>
      <c r="G8" s="5"/>
      <c r="H8" s="5"/>
      <c r="I8" s="4" t="s">
        <v>37</v>
      </c>
      <c r="J8" s="4" t="s">
        <v>37</v>
      </c>
      <c r="K8" s="4">
        <v>0</v>
      </c>
      <c r="L8" s="4" t="s">
        <v>37</v>
      </c>
      <c r="M8" s="4">
        <f t="shared" ref="M8" si="1">E8-K8</f>
        <v>600</v>
      </c>
    </row>
    <row r="9" spans="1:13" x14ac:dyDescent="0.25">
      <c r="A9" s="5" t="s">
        <v>406</v>
      </c>
      <c r="B9" s="5" t="s">
        <v>407</v>
      </c>
      <c r="C9" s="5" t="s">
        <v>27</v>
      </c>
      <c r="D9" s="5" t="s">
        <v>33</v>
      </c>
      <c r="E9" s="4">
        <v>750</v>
      </c>
      <c r="F9" s="5"/>
      <c r="G9" s="5"/>
      <c r="H9" s="5"/>
      <c r="I9" s="4" t="s">
        <v>37</v>
      </c>
      <c r="J9" s="4" t="s">
        <v>37</v>
      </c>
      <c r="K9" s="4">
        <v>0</v>
      </c>
      <c r="L9" s="4" t="s">
        <v>37</v>
      </c>
      <c r="M9" s="4">
        <f t="shared" ref="M9" si="2">E9-K9</f>
        <v>750</v>
      </c>
    </row>
    <row r="10" spans="1:13" x14ac:dyDescent="0.25">
      <c r="A10" s="5" t="s">
        <v>406</v>
      </c>
      <c r="B10" s="5" t="s">
        <v>412</v>
      </c>
      <c r="C10" s="5" t="s">
        <v>27</v>
      </c>
      <c r="D10" s="5" t="s">
        <v>168</v>
      </c>
      <c r="E10" s="4">
        <v>350</v>
      </c>
      <c r="F10" s="5"/>
      <c r="G10" s="5"/>
      <c r="H10" s="5"/>
      <c r="I10" s="4" t="s">
        <v>37</v>
      </c>
      <c r="J10" s="4" t="s">
        <v>37</v>
      </c>
      <c r="K10" s="4">
        <v>0</v>
      </c>
      <c r="L10" s="4" t="s">
        <v>37</v>
      </c>
      <c r="M10" s="4">
        <f t="shared" si="0"/>
        <v>350</v>
      </c>
    </row>
    <row r="11" spans="1:13" x14ac:dyDescent="0.25">
      <c r="A11" s="5" t="s">
        <v>408</v>
      </c>
      <c r="B11" s="5" t="s">
        <v>409</v>
      </c>
      <c r="C11" s="5" t="s">
        <v>27</v>
      </c>
      <c r="D11" s="5" t="s">
        <v>33</v>
      </c>
      <c r="E11" s="4">
        <v>2000</v>
      </c>
      <c r="F11" s="5"/>
      <c r="G11" s="5"/>
      <c r="H11" s="18"/>
      <c r="I11" s="4" t="s">
        <v>75</v>
      </c>
      <c r="J11" s="4" t="s">
        <v>410</v>
      </c>
      <c r="K11" s="4">
        <v>500</v>
      </c>
      <c r="L11" s="4" t="s">
        <v>411</v>
      </c>
      <c r="M11" s="4">
        <f t="shared" si="0"/>
        <v>1500</v>
      </c>
    </row>
    <row r="12" spans="1:13" x14ac:dyDescent="0.25">
      <c r="A12" s="5" t="s">
        <v>408</v>
      </c>
      <c r="B12" s="5" t="s">
        <v>413</v>
      </c>
      <c r="C12" s="5" t="s">
        <v>27</v>
      </c>
      <c r="D12" s="5" t="s">
        <v>387</v>
      </c>
      <c r="E12" s="4">
        <v>985</v>
      </c>
      <c r="F12" s="5"/>
      <c r="G12" s="5"/>
      <c r="H12" s="18"/>
      <c r="I12" s="4" t="s">
        <v>37</v>
      </c>
      <c r="J12" s="4" t="s">
        <v>37</v>
      </c>
      <c r="K12" s="4">
        <v>0</v>
      </c>
      <c r="L12" s="4" t="s">
        <v>37</v>
      </c>
      <c r="M12" s="4">
        <f t="shared" ref="M12" si="3">E12-K12</f>
        <v>985</v>
      </c>
    </row>
    <row r="13" spans="1:13" x14ac:dyDescent="0.25">
      <c r="A13" s="5" t="s">
        <v>414</v>
      </c>
      <c r="B13" s="5" t="s">
        <v>415</v>
      </c>
      <c r="C13" s="5" t="s">
        <v>27</v>
      </c>
      <c r="D13" s="5" t="s">
        <v>33</v>
      </c>
      <c r="E13" s="4">
        <v>950</v>
      </c>
      <c r="F13" s="5"/>
      <c r="G13" s="5"/>
      <c r="H13" s="18"/>
      <c r="I13" s="4" t="s">
        <v>37</v>
      </c>
      <c r="J13" s="4" t="s">
        <v>37</v>
      </c>
      <c r="K13" s="4">
        <v>0</v>
      </c>
      <c r="L13" s="4" t="s">
        <v>37</v>
      </c>
      <c r="M13" s="4">
        <f t="shared" si="0"/>
        <v>950</v>
      </c>
    </row>
    <row r="14" spans="1:13" x14ac:dyDescent="0.25">
      <c r="A14" s="5" t="s">
        <v>414</v>
      </c>
      <c r="B14" s="5" t="s">
        <v>416</v>
      </c>
      <c r="C14" s="5" t="s">
        <v>27</v>
      </c>
      <c r="D14" s="5" t="s">
        <v>33</v>
      </c>
      <c r="E14" s="4">
        <v>550</v>
      </c>
      <c r="F14" s="5"/>
      <c r="G14" s="5"/>
      <c r="H14" s="18"/>
      <c r="I14" s="4" t="s">
        <v>37</v>
      </c>
      <c r="J14" s="4" t="s">
        <v>37</v>
      </c>
      <c r="K14" s="4">
        <v>0</v>
      </c>
      <c r="L14" s="4" t="s">
        <v>37</v>
      </c>
      <c r="M14" s="4">
        <f t="shared" si="0"/>
        <v>550</v>
      </c>
    </row>
    <row r="15" spans="1:13" x14ac:dyDescent="0.25">
      <c r="A15" s="5" t="s">
        <v>417</v>
      </c>
      <c r="B15" s="5" t="s">
        <v>122</v>
      </c>
      <c r="C15" s="5" t="s">
        <v>27</v>
      </c>
      <c r="D15" s="5" t="s">
        <v>33</v>
      </c>
      <c r="E15" s="4">
        <v>1950</v>
      </c>
      <c r="F15" s="5"/>
      <c r="G15" s="5"/>
      <c r="H15" s="18"/>
      <c r="I15" s="4" t="s">
        <v>75</v>
      </c>
      <c r="J15" s="4" t="s">
        <v>37</v>
      </c>
      <c r="K15" s="4">
        <v>350</v>
      </c>
      <c r="L15" s="4" t="s">
        <v>411</v>
      </c>
      <c r="M15" s="4">
        <f t="shared" si="0"/>
        <v>1600</v>
      </c>
    </row>
    <row r="16" spans="1:13" x14ac:dyDescent="0.25">
      <c r="A16" s="5" t="s">
        <v>417</v>
      </c>
      <c r="B16" s="5" t="s">
        <v>418</v>
      </c>
      <c r="C16" s="5" t="s">
        <v>27</v>
      </c>
      <c r="D16" s="5" t="s">
        <v>33</v>
      </c>
      <c r="E16" s="4">
        <v>1000</v>
      </c>
      <c r="F16" s="5"/>
      <c r="G16" s="5"/>
      <c r="H16" s="18"/>
      <c r="I16" s="4" t="s">
        <v>419</v>
      </c>
      <c r="J16" s="4" t="s">
        <v>420</v>
      </c>
      <c r="K16" s="4">
        <v>380</v>
      </c>
      <c r="L16" s="4" t="s">
        <v>411</v>
      </c>
      <c r="M16" s="4">
        <f t="shared" si="0"/>
        <v>620</v>
      </c>
    </row>
    <row r="17" spans="1:13" x14ac:dyDescent="0.25">
      <c r="A17" s="5" t="s">
        <v>421</v>
      </c>
      <c r="B17" s="5" t="s">
        <v>422</v>
      </c>
      <c r="C17" s="5" t="s">
        <v>27</v>
      </c>
      <c r="D17" s="5" t="s">
        <v>168</v>
      </c>
      <c r="E17" s="4">
        <v>850</v>
      </c>
      <c r="F17" s="5"/>
      <c r="G17" s="5"/>
      <c r="H17" s="18"/>
      <c r="I17" s="4" t="s">
        <v>37</v>
      </c>
      <c r="J17" s="4" t="s">
        <v>37</v>
      </c>
      <c r="K17" s="4">
        <v>0</v>
      </c>
      <c r="L17" s="4" t="s">
        <v>37</v>
      </c>
      <c r="M17" s="4">
        <f t="shared" si="0"/>
        <v>850</v>
      </c>
    </row>
    <row r="18" spans="1:13" x14ac:dyDescent="0.25">
      <c r="A18" s="5" t="s">
        <v>392</v>
      </c>
      <c r="B18" s="5" t="s">
        <v>229</v>
      </c>
      <c r="C18" s="5" t="s">
        <v>27</v>
      </c>
      <c r="D18" s="5" t="s">
        <v>47</v>
      </c>
      <c r="E18" s="4">
        <v>1044</v>
      </c>
      <c r="F18" s="5"/>
      <c r="G18" s="5"/>
      <c r="H18" s="18"/>
      <c r="I18" s="4" t="s">
        <v>37</v>
      </c>
      <c r="J18" s="4" t="s">
        <v>37</v>
      </c>
      <c r="K18" s="4">
        <v>0</v>
      </c>
      <c r="L18" s="4" t="s">
        <v>37</v>
      </c>
      <c r="M18" s="4">
        <f t="shared" ref="M18:M19" si="4">E18-K18</f>
        <v>1044</v>
      </c>
    </row>
    <row r="19" spans="1:13" x14ac:dyDescent="0.25">
      <c r="A19" s="5" t="s">
        <v>392</v>
      </c>
      <c r="B19" s="5" t="s">
        <v>423</v>
      </c>
      <c r="C19" s="5" t="s">
        <v>27</v>
      </c>
      <c r="D19" s="5" t="s">
        <v>33</v>
      </c>
      <c r="E19" s="4">
        <v>850</v>
      </c>
      <c r="F19" s="5"/>
      <c r="G19" s="5"/>
      <c r="H19" s="18"/>
      <c r="I19" s="4" t="s">
        <v>37</v>
      </c>
      <c r="J19" s="4" t="s">
        <v>37</v>
      </c>
      <c r="K19" s="4">
        <v>0</v>
      </c>
      <c r="L19" s="4" t="s">
        <v>37</v>
      </c>
      <c r="M19" s="4">
        <f t="shared" si="4"/>
        <v>850</v>
      </c>
    </row>
    <row r="20" spans="1:13" x14ac:dyDescent="0.25">
      <c r="A20" s="5" t="s">
        <v>396</v>
      </c>
      <c r="B20" s="5" t="s">
        <v>424</v>
      </c>
      <c r="C20" s="5" t="s">
        <v>27</v>
      </c>
      <c r="D20" s="5" t="s">
        <v>33</v>
      </c>
      <c r="E20" s="4">
        <f>3750+300</f>
        <v>4050</v>
      </c>
      <c r="F20" s="5"/>
      <c r="G20" s="5"/>
      <c r="H20" s="18"/>
      <c r="I20" s="4" t="s">
        <v>425</v>
      </c>
      <c r="J20" s="5" t="s">
        <v>396</v>
      </c>
      <c r="K20" s="4">
        <v>3346</v>
      </c>
      <c r="L20" s="4" t="s">
        <v>426</v>
      </c>
      <c r="M20" s="4">
        <f>E20-K20</f>
        <v>704</v>
      </c>
    </row>
    <row r="21" spans="1:13" x14ac:dyDescent="0.25">
      <c r="A21" s="5" t="s">
        <v>396</v>
      </c>
      <c r="B21" s="5" t="s">
        <v>427</v>
      </c>
      <c r="C21" s="5" t="s">
        <v>27</v>
      </c>
      <c r="D21" s="5" t="s">
        <v>33</v>
      </c>
      <c r="E21" s="4">
        <v>450</v>
      </c>
      <c r="F21" s="5"/>
      <c r="G21" s="5"/>
      <c r="H21" s="18"/>
      <c r="I21" s="4" t="s">
        <v>37</v>
      </c>
      <c r="J21" s="5" t="s">
        <v>37</v>
      </c>
      <c r="K21" s="4">
        <v>0</v>
      </c>
      <c r="L21" s="4" t="s">
        <v>37</v>
      </c>
      <c r="M21" s="4">
        <f t="shared" ref="M21:M22" si="5">E21-K21</f>
        <v>450</v>
      </c>
    </row>
    <row r="22" spans="1:13" x14ac:dyDescent="0.25">
      <c r="A22" s="5" t="s">
        <v>396</v>
      </c>
      <c r="B22" s="5" t="s">
        <v>428</v>
      </c>
      <c r="C22" s="5" t="s">
        <v>27</v>
      </c>
      <c r="D22" s="5" t="s">
        <v>429</v>
      </c>
      <c r="E22" s="4">
        <v>1400</v>
      </c>
      <c r="F22" s="5"/>
      <c r="G22" s="5"/>
      <c r="H22" s="18"/>
      <c r="I22" s="4" t="s">
        <v>37</v>
      </c>
      <c r="J22" s="4" t="s">
        <v>37</v>
      </c>
      <c r="K22" s="4">
        <v>0</v>
      </c>
      <c r="L22" s="4" t="s">
        <v>37</v>
      </c>
      <c r="M22" s="4">
        <f t="shared" si="5"/>
        <v>1400</v>
      </c>
    </row>
    <row r="23" spans="1:13" x14ac:dyDescent="0.25">
      <c r="A23" s="5" t="s">
        <v>393</v>
      </c>
      <c r="B23" s="5" t="s">
        <v>430</v>
      </c>
      <c r="C23" s="5" t="s">
        <v>27</v>
      </c>
      <c r="D23" s="5" t="s">
        <v>387</v>
      </c>
      <c r="E23" s="4">
        <v>1395</v>
      </c>
      <c r="F23" s="5"/>
      <c r="G23" s="5"/>
      <c r="H23" s="18"/>
      <c r="I23" s="4" t="s">
        <v>37</v>
      </c>
      <c r="J23" s="4" t="s">
        <v>37</v>
      </c>
      <c r="K23" s="4">
        <v>0</v>
      </c>
      <c r="L23" s="4" t="s">
        <v>37</v>
      </c>
      <c r="M23" s="4">
        <f t="shared" ref="M23:M24" si="6">E23-K23</f>
        <v>1395</v>
      </c>
    </row>
    <row r="24" spans="1:13" x14ac:dyDescent="0.25">
      <c r="A24" s="5" t="s">
        <v>431</v>
      </c>
      <c r="B24" s="5" t="s">
        <v>432</v>
      </c>
      <c r="C24" s="5" t="s">
        <v>27</v>
      </c>
      <c r="D24" s="5" t="s">
        <v>33</v>
      </c>
      <c r="E24" s="4">
        <v>4000</v>
      </c>
      <c r="F24" s="5"/>
      <c r="G24" s="5"/>
      <c r="H24" s="18"/>
      <c r="I24" s="4" t="s">
        <v>433</v>
      </c>
      <c r="J24" s="4" t="s">
        <v>434</v>
      </c>
      <c r="K24" s="4">
        <v>2799</v>
      </c>
      <c r="L24" s="4" t="s">
        <v>335</v>
      </c>
      <c r="M24" s="4">
        <f t="shared" si="6"/>
        <v>1201</v>
      </c>
    </row>
    <row r="25" spans="1:13" x14ac:dyDescent="0.25">
      <c r="A25" s="5" t="s">
        <v>435</v>
      </c>
      <c r="B25" s="5" t="s">
        <v>436</v>
      </c>
      <c r="C25" s="5" t="s">
        <v>27</v>
      </c>
      <c r="D25" s="5" t="s">
        <v>33</v>
      </c>
      <c r="E25" s="4">
        <v>850</v>
      </c>
      <c r="F25" s="5"/>
      <c r="G25" s="5"/>
      <c r="H25" s="18"/>
      <c r="I25" s="4" t="s">
        <v>37</v>
      </c>
      <c r="J25" s="4" t="s">
        <v>37</v>
      </c>
      <c r="K25" s="4">
        <v>0</v>
      </c>
      <c r="L25" s="4" t="s">
        <v>37</v>
      </c>
      <c r="M25" s="4">
        <f t="shared" ref="M25:M29" si="7">E25-K25</f>
        <v>850</v>
      </c>
    </row>
    <row r="26" spans="1:13" x14ac:dyDescent="0.25">
      <c r="A26" s="5" t="s">
        <v>397</v>
      </c>
      <c r="B26" s="5" t="s">
        <v>437</v>
      </c>
      <c r="C26" s="5" t="s">
        <v>27</v>
      </c>
      <c r="D26" s="5" t="s">
        <v>33</v>
      </c>
      <c r="E26" s="4">
        <v>1750</v>
      </c>
      <c r="F26" s="5"/>
      <c r="G26" s="5"/>
      <c r="H26" s="18"/>
      <c r="I26" s="4" t="s">
        <v>433</v>
      </c>
      <c r="J26" s="4" t="s">
        <v>397</v>
      </c>
      <c r="K26" s="4">
        <v>945</v>
      </c>
      <c r="L26" s="4" t="s">
        <v>438</v>
      </c>
      <c r="M26" s="4">
        <f t="shared" si="7"/>
        <v>805</v>
      </c>
    </row>
    <row r="27" spans="1:13" x14ac:dyDescent="0.25">
      <c r="A27" s="5" t="s">
        <v>397</v>
      </c>
      <c r="B27" s="5" t="s">
        <v>439</v>
      </c>
      <c r="C27" s="5" t="s">
        <v>27</v>
      </c>
      <c r="D27" s="5" t="s">
        <v>383</v>
      </c>
      <c r="E27" s="4">
        <v>15790.8</v>
      </c>
      <c r="F27" s="5"/>
      <c r="G27" s="5"/>
      <c r="H27" s="18"/>
      <c r="I27" s="4" t="s">
        <v>127</v>
      </c>
      <c r="J27" s="4" t="s">
        <v>397</v>
      </c>
      <c r="K27" s="4">
        <v>10240.540000000001</v>
      </c>
      <c r="L27" s="4" t="s">
        <v>438</v>
      </c>
      <c r="M27" s="4">
        <f t="shared" si="7"/>
        <v>5550.2599999999984</v>
      </c>
    </row>
    <row r="28" spans="1:13" x14ac:dyDescent="0.25">
      <c r="A28" s="5" t="s">
        <v>397</v>
      </c>
      <c r="B28" s="5" t="s">
        <v>440</v>
      </c>
      <c r="C28" s="5" t="s">
        <v>27</v>
      </c>
      <c r="D28" s="5" t="s">
        <v>33</v>
      </c>
      <c r="E28" s="4">
        <v>550</v>
      </c>
      <c r="F28" s="5"/>
      <c r="G28" s="5"/>
      <c r="H28" s="18"/>
      <c r="I28" s="4" t="s">
        <v>37</v>
      </c>
      <c r="J28" s="4" t="s">
        <v>37</v>
      </c>
      <c r="K28" s="4">
        <v>0</v>
      </c>
      <c r="L28" s="4"/>
      <c r="M28" s="4">
        <f t="shared" si="7"/>
        <v>550</v>
      </c>
    </row>
    <row r="29" spans="1:13" x14ac:dyDescent="0.25">
      <c r="A29" s="5" t="s">
        <v>397</v>
      </c>
      <c r="B29" s="5" t="s">
        <v>448</v>
      </c>
      <c r="C29" s="5" t="s">
        <v>27</v>
      </c>
      <c r="D29" s="5" t="s">
        <v>387</v>
      </c>
      <c r="E29" s="4">
        <v>450</v>
      </c>
      <c r="F29" s="5"/>
      <c r="G29" s="5"/>
      <c r="H29" s="18"/>
      <c r="I29" s="4" t="s">
        <v>37</v>
      </c>
      <c r="J29" s="4" t="s">
        <v>37</v>
      </c>
      <c r="K29" s="4">
        <v>0</v>
      </c>
      <c r="L29" s="4" t="s">
        <v>37</v>
      </c>
      <c r="M29" s="4">
        <f t="shared" si="7"/>
        <v>450</v>
      </c>
    </row>
    <row r="30" spans="1:13" x14ac:dyDescent="0.25">
      <c r="H30" s="16"/>
    </row>
    <row r="31" spans="1:13" s="11" customFormat="1" x14ac:dyDescent="0.25">
      <c r="A31" s="11" t="s">
        <v>388</v>
      </c>
      <c r="E31" s="12"/>
      <c r="H31" s="17"/>
      <c r="I31" s="12"/>
      <c r="K31" s="12"/>
      <c r="M31" s="12"/>
    </row>
    <row r="32" spans="1:13" x14ac:dyDescent="0.25">
      <c r="F32" s="16"/>
      <c r="H32" s="16"/>
    </row>
    <row r="33" spans="1:12" x14ac:dyDescent="0.25">
      <c r="A33" s="5" t="s">
        <v>390</v>
      </c>
      <c r="B33" s="5" t="s">
        <v>108</v>
      </c>
      <c r="C33" s="4">
        <v>1200</v>
      </c>
      <c r="J33" s="10"/>
      <c r="L33" s="10"/>
    </row>
    <row r="34" spans="1:12" x14ac:dyDescent="0.25">
      <c r="A34" s="5" t="s">
        <v>390</v>
      </c>
      <c r="B34" s="5" t="s">
        <v>297</v>
      </c>
      <c r="C34" s="4">
        <v>1000</v>
      </c>
      <c r="H34" s="16"/>
    </row>
    <row r="35" spans="1:12" x14ac:dyDescent="0.25">
      <c r="A35" s="5" t="s">
        <v>390</v>
      </c>
      <c r="B35" s="5" t="s">
        <v>395</v>
      </c>
      <c r="C35" s="4">
        <v>500</v>
      </c>
      <c r="H35" s="16"/>
    </row>
    <row r="36" spans="1:12" x14ac:dyDescent="0.25">
      <c r="A36" s="5" t="s">
        <v>391</v>
      </c>
      <c r="B36" s="5" t="s">
        <v>108</v>
      </c>
      <c r="C36" s="4">
        <v>1200</v>
      </c>
      <c r="H36" s="16"/>
    </row>
    <row r="37" spans="1:12" x14ac:dyDescent="0.25">
      <c r="A37" s="5" t="s">
        <v>391</v>
      </c>
      <c r="B37" s="5" t="s">
        <v>297</v>
      </c>
      <c r="C37" s="4">
        <v>1000</v>
      </c>
      <c r="H37" s="16"/>
    </row>
    <row r="38" spans="1:12" x14ac:dyDescent="0.25">
      <c r="A38" s="5" t="s">
        <v>391</v>
      </c>
      <c r="B38" s="5" t="s">
        <v>395</v>
      </c>
      <c r="C38" s="4">
        <v>500</v>
      </c>
      <c r="H38" s="16"/>
    </row>
    <row r="39" spans="1:12" x14ac:dyDescent="0.25">
      <c r="A39" s="5" t="s">
        <v>392</v>
      </c>
      <c r="B39" s="5" t="s">
        <v>108</v>
      </c>
      <c r="C39" s="4">
        <v>1200</v>
      </c>
      <c r="H39" s="16"/>
    </row>
    <row r="40" spans="1:12" x14ac:dyDescent="0.25">
      <c r="A40" s="5" t="s">
        <v>392</v>
      </c>
      <c r="B40" s="5" t="s">
        <v>297</v>
      </c>
      <c r="C40" s="4">
        <v>1000</v>
      </c>
      <c r="H40" s="16"/>
    </row>
    <row r="41" spans="1:12" x14ac:dyDescent="0.25">
      <c r="A41" s="5" t="s">
        <v>392</v>
      </c>
      <c r="B41" s="5" t="s">
        <v>395</v>
      </c>
      <c r="C41" s="4">
        <v>500</v>
      </c>
      <c r="H41" s="16"/>
    </row>
    <row r="42" spans="1:12" s="10" customFormat="1" x14ac:dyDescent="0.25">
      <c r="A42" s="5" t="s">
        <v>396</v>
      </c>
      <c r="B42" s="5" t="s">
        <v>206</v>
      </c>
      <c r="C42" s="4">
        <v>6000</v>
      </c>
      <c r="D42" s="9"/>
      <c r="F42" s="9"/>
      <c r="G42" s="9"/>
      <c r="H42" s="9"/>
      <c r="J42" s="9"/>
      <c r="L42" s="9"/>
    </row>
    <row r="43" spans="1:12" s="10" customFormat="1" x14ac:dyDescent="0.25">
      <c r="A43" s="5" t="s">
        <v>393</v>
      </c>
      <c r="B43" s="5" t="s">
        <v>108</v>
      </c>
      <c r="C43" s="4">
        <v>1200</v>
      </c>
      <c r="D43" s="9"/>
      <c r="F43" s="9"/>
      <c r="G43" s="9"/>
      <c r="H43" s="16"/>
      <c r="J43" s="9"/>
      <c r="L43" s="9"/>
    </row>
    <row r="44" spans="1:12" s="10" customFormat="1" x14ac:dyDescent="0.25">
      <c r="A44" s="5" t="s">
        <v>393</v>
      </c>
      <c r="B44" s="5" t="s">
        <v>297</v>
      </c>
      <c r="C44" s="4">
        <v>1000</v>
      </c>
      <c r="D44" s="9"/>
      <c r="F44" s="9"/>
      <c r="G44" s="9"/>
      <c r="H44" s="16"/>
      <c r="J44" s="9"/>
      <c r="L44" s="9"/>
    </row>
    <row r="45" spans="1:12" s="10" customFormat="1" x14ac:dyDescent="0.25">
      <c r="A45" s="5" t="s">
        <v>393</v>
      </c>
      <c r="B45" s="5" t="s">
        <v>394</v>
      </c>
      <c r="C45" s="4">
        <v>500</v>
      </c>
      <c r="D45" s="9"/>
      <c r="F45" s="9"/>
      <c r="G45" s="9"/>
      <c r="H45" s="9"/>
      <c r="J45" s="9"/>
      <c r="L45" s="9"/>
    </row>
    <row r="46" spans="1:12" s="10" customFormat="1" x14ac:dyDescent="0.25">
      <c r="A46" s="9" t="s">
        <v>397</v>
      </c>
      <c r="B46" s="9" t="s">
        <v>398</v>
      </c>
      <c r="C46" s="10">
        <v>5000</v>
      </c>
      <c r="D46" s="9"/>
      <c r="F46" s="9"/>
      <c r="G46" s="9"/>
      <c r="H46" s="9"/>
      <c r="J46" s="9"/>
      <c r="L46" s="9"/>
    </row>
    <row r="47" spans="1:12" s="10" customFormat="1" x14ac:dyDescent="0.25">
      <c r="A47" s="9"/>
      <c r="B47" s="9"/>
      <c r="D47" s="9"/>
      <c r="F47" s="9"/>
      <c r="G47" s="9"/>
      <c r="H47" s="9"/>
      <c r="J47" s="9"/>
      <c r="L47" s="9"/>
    </row>
    <row r="48" spans="1:12" s="10" customFormat="1" x14ac:dyDescent="0.25">
      <c r="A48" s="9"/>
      <c r="B48" s="9"/>
      <c r="D48" s="9"/>
      <c r="F48" s="9"/>
      <c r="G48" s="9"/>
      <c r="H48" s="9"/>
      <c r="J48" s="9"/>
      <c r="L48" s="9"/>
    </row>
    <row r="49" spans="1:12" s="10" customFormat="1" x14ac:dyDescent="0.25">
      <c r="A49" s="9"/>
      <c r="B49" s="9"/>
      <c r="D49" s="9"/>
      <c r="F49" s="9"/>
      <c r="G49" s="9"/>
      <c r="H49" s="9"/>
      <c r="J49" s="9"/>
      <c r="L49" s="9"/>
    </row>
    <row r="50" spans="1:12" s="10" customFormat="1" x14ac:dyDescent="0.25">
      <c r="A50" s="9"/>
      <c r="B50" s="9"/>
      <c r="D50" s="9"/>
      <c r="F50" s="9"/>
      <c r="G50" s="9"/>
      <c r="H50" s="9"/>
      <c r="J50" s="9"/>
      <c r="L50" s="9"/>
    </row>
    <row r="51" spans="1:12" s="10" customFormat="1" x14ac:dyDescent="0.25">
      <c r="A51" s="9"/>
      <c r="B51" s="9"/>
      <c r="D51" s="9"/>
      <c r="F51" s="9"/>
      <c r="G51" s="9"/>
      <c r="H51" s="9"/>
      <c r="J51" s="9"/>
      <c r="L51" s="9"/>
    </row>
    <row r="52" spans="1:12" s="10" customFormat="1" x14ac:dyDescent="0.25">
      <c r="A52" s="9"/>
      <c r="B52" s="9"/>
      <c r="D52" s="9"/>
      <c r="F52" s="9"/>
      <c r="G52" s="9"/>
      <c r="H52" s="9"/>
    </row>
    <row r="53" spans="1:12" s="10" customFormat="1" x14ac:dyDescent="0.25">
      <c r="A53" s="9"/>
      <c r="B53" s="9"/>
      <c r="D53" s="9"/>
      <c r="F53" s="9"/>
      <c r="G53" s="9"/>
      <c r="H53" s="9"/>
    </row>
    <row r="54" spans="1:12" s="10" customFormat="1" x14ac:dyDescent="0.25">
      <c r="A54" s="9"/>
      <c r="B54" s="9"/>
      <c r="D54" s="9"/>
      <c r="F54" s="9"/>
      <c r="G54" s="9"/>
      <c r="H54" s="9"/>
    </row>
    <row r="55" spans="1:12" s="10" customFormat="1" x14ac:dyDescent="0.25">
      <c r="A55" s="9"/>
      <c r="B55" s="9"/>
      <c r="D55" s="9"/>
      <c r="F55" s="9"/>
      <c r="G55" s="9"/>
      <c r="H55" s="9"/>
    </row>
    <row r="56" spans="1:12" s="10" customFormat="1" x14ac:dyDescent="0.25">
      <c r="A56" s="9"/>
      <c r="B56" s="9"/>
      <c r="C56" s="9"/>
      <c r="D56" s="9"/>
      <c r="F56" s="9"/>
      <c r="G56" s="9"/>
      <c r="H56" s="9"/>
    </row>
    <row r="57" spans="1:12" s="10" customFormat="1" x14ac:dyDescent="0.25"/>
    <row r="58" spans="1:12" s="10" customFormat="1" x14ac:dyDescent="0.25"/>
    <row r="59" spans="1:12" s="10" customFormat="1" x14ac:dyDescent="0.25"/>
    <row r="60" spans="1:12" s="10" customFormat="1" x14ac:dyDescent="0.25"/>
    <row r="61" spans="1:12" s="10" customFormat="1" x14ac:dyDescent="0.25"/>
    <row r="62" spans="1:12" s="10" customFormat="1" x14ac:dyDescent="0.25"/>
    <row r="63" spans="1:12" s="10" customFormat="1" x14ac:dyDescent="0.25"/>
    <row r="64" spans="1:12" s="10" customFormat="1" x14ac:dyDescent="0.25">
      <c r="J64" s="9"/>
      <c r="L64" s="9"/>
    </row>
    <row r="65" spans="1:13" s="10" customFormat="1" x14ac:dyDescent="0.25">
      <c r="J65" s="9"/>
      <c r="L65" s="9"/>
    </row>
    <row r="66" spans="1:13" s="10" customFormat="1" x14ac:dyDescent="0.25">
      <c r="J66" s="9"/>
      <c r="L66" s="9"/>
    </row>
    <row r="67" spans="1:13" s="10" customFormat="1" x14ac:dyDescent="0.25">
      <c r="J67" s="9"/>
      <c r="L67" s="9"/>
    </row>
    <row r="68" spans="1:13" s="10" customFormat="1" x14ac:dyDescent="0.25">
      <c r="J68" s="9"/>
      <c r="L68" s="9"/>
    </row>
    <row r="69" spans="1:13" s="10" customFormat="1" x14ac:dyDescent="0.25">
      <c r="J69" s="9"/>
      <c r="L69" s="9"/>
    </row>
    <row r="70" spans="1:13" s="10" customFormat="1" x14ac:dyDescent="0.25">
      <c r="J70" s="9"/>
      <c r="L70" s="9"/>
    </row>
    <row r="71" spans="1:13" s="10" customFormat="1" x14ac:dyDescent="0.25">
      <c r="J71" s="9"/>
      <c r="L71" s="9"/>
    </row>
    <row r="72" spans="1:13" s="10" customFormat="1" x14ac:dyDescent="0.25">
      <c r="J72" s="9"/>
      <c r="L72" s="9"/>
    </row>
    <row r="73" spans="1:13" s="10" customFormat="1" x14ac:dyDescent="0.25">
      <c r="J73" s="9"/>
      <c r="L73" s="9"/>
    </row>
    <row r="74" spans="1:13" s="10" customFormat="1" x14ac:dyDescent="0.25">
      <c r="J74" s="9"/>
      <c r="L74" s="9"/>
    </row>
    <row r="75" spans="1:13" s="10" customFormat="1" x14ac:dyDescent="0.25">
      <c r="J75" s="9"/>
      <c r="L75" s="9"/>
    </row>
    <row r="76" spans="1:13" s="10" customFormat="1" x14ac:dyDescent="0.25">
      <c r="J76" s="9"/>
      <c r="L76" s="9"/>
    </row>
    <row r="77" spans="1:13" s="10" customFormat="1" x14ac:dyDescent="0.25">
      <c r="J77" s="9"/>
      <c r="L77" s="9"/>
    </row>
    <row r="78" spans="1:13" s="11" customFormat="1" x14ac:dyDescent="0.25">
      <c r="C78" s="12"/>
      <c r="E78" s="12"/>
      <c r="I78" s="12"/>
      <c r="K78" s="12"/>
      <c r="M78" s="12"/>
    </row>
    <row r="79" spans="1:13" x14ac:dyDescent="0.25">
      <c r="C79" s="10"/>
    </row>
    <row r="80" spans="1:13" x14ac:dyDescent="0.25">
      <c r="A80" s="13"/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84" spans="3:3" x14ac:dyDescent="0.25">
      <c r="C84" s="10"/>
    </row>
    <row r="85" spans="3:3" x14ac:dyDescent="0.25">
      <c r="C85" s="10"/>
    </row>
    <row r="86" spans="3:3" x14ac:dyDescent="0.25">
      <c r="C86" s="10"/>
    </row>
    <row r="87" spans="3:3" x14ac:dyDescent="0.25">
      <c r="C87" s="10"/>
    </row>
    <row r="88" spans="3:3" x14ac:dyDescent="0.25">
      <c r="C88" s="10"/>
    </row>
    <row r="89" spans="3:3" x14ac:dyDescent="0.25">
      <c r="C89" s="10"/>
    </row>
    <row r="90" spans="3:3" x14ac:dyDescent="0.25">
      <c r="C90" s="10"/>
    </row>
    <row r="91" spans="3:3" x14ac:dyDescent="0.25">
      <c r="C91" s="10"/>
    </row>
    <row r="92" spans="3:3" x14ac:dyDescent="0.25">
      <c r="C92" s="10"/>
    </row>
    <row r="93" spans="3:3" x14ac:dyDescent="0.25">
      <c r="C93" s="10"/>
    </row>
    <row r="94" spans="3:3" x14ac:dyDescent="0.25">
      <c r="C94" s="10"/>
    </row>
    <row r="95" spans="3:3" x14ac:dyDescent="0.25">
      <c r="C95" s="10"/>
    </row>
    <row r="96" spans="3:3" x14ac:dyDescent="0.25">
      <c r="C96" s="1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4"/>
  <sheetViews>
    <sheetView topLeftCell="C1" workbookViewId="0">
      <pane ySplit="3" topLeftCell="A4" activePane="bottomLeft" state="frozen"/>
      <selection activeCell="K26" activeCellId="1" sqref="K29:K30 K26"/>
      <selection pane="bottomLeft" activeCell="A9" sqref="A9:K9"/>
    </sheetView>
  </sheetViews>
  <sheetFormatPr baseColWidth="10" defaultColWidth="10.7109375" defaultRowHeight="15" x14ac:dyDescent="0.25"/>
  <cols>
    <col min="1" max="1" width="22.7109375" style="9" customWidth="1"/>
    <col min="2" max="2" width="62.28515625" style="9" customWidth="1"/>
    <col min="3" max="3" width="22.42578125" style="9" customWidth="1"/>
    <col min="4" max="4" width="37.5703125" style="9" customWidth="1"/>
    <col min="5" max="5" width="10.7109375" style="10"/>
    <col min="6" max="6" width="10.7109375" style="9" hidden="1" customWidth="1"/>
    <col min="7" max="7" width="32.28515625" style="10" customWidth="1"/>
    <col min="8" max="8" width="21.28515625" style="9" customWidth="1"/>
    <col min="9" max="9" width="18" style="10" customWidth="1"/>
    <col min="10" max="10" width="18.140625" style="9" customWidth="1"/>
    <col min="11" max="11" width="12.7109375" style="10" customWidth="1"/>
    <col min="12" max="16384" width="10.7109375" style="9"/>
  </cols>
  <sheetData>
    <row r="1" spans="1:11" s="11" customFormat="1" x14ac:dyDescent="0.25">
      <c r="A1" s="11" t="s">
        <v>0</v>
      </c>
      <c r="E1" s="12"/>
      <c r="G1" s="12"/>
      <c r="I1" s="12"/>
    </row>
    <row r="3" spans="1:11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12" t="s">
        <v>13</v>
      </c>
    </row>
    <row r="4" spans="1:11" x14ac:dyDescent="0.25">
      <c r="A4" s="9" t="s">
        <v>449</v>
      </c>
      <c r="B4" s="9" t="s">
        <v>450</v>
      </c>
      <c r="C4" s="9" t="s">
        <v>27</v>
      </c>
      <c r="D4" s="9" t="s">
        <v>383</v>
      </c>
      <c r="E4" s="10">
        <f>1750+550</f>
        <v>2300</v>
      </c>
      <c r="G4" s="10" t="s">
        <v>451</v>
      </c>
      <c r="H4" s="10" t="s">
        <v>378</v>
      </c>
      <c r="I4" s="10">
        <v>400</v>
      </c>
      <c r="J4" s="10" t="s">
        <v>335</v>
      </c>
      <c r="K4" s="10">
        <f t="shared" ref="K4:K28" si="0">E4-I4</f>
        <v>1900</v>
      </c>
    </row>
    <row r="5" spans="1:11" x14ac:dyDescent="0.25">
      <c r="A5" s="5" t="s">
        <v>452</v>
      </c>
      <c r="B5" s="5" t="s">
        <v>453</v>
      </c>
      <c r="C5" s="5" t="s">
        <v>27</v>
      </c>
      <c r="D5" s="5" t="s">
        <v>33</v>
      </c>
      <c r="E5" s="4">
        <v>1100</v>
      </c>
      <c r="F5" s="5"/>
      <c r="G5" s="4" t="s">
        <v>37</v>
      </c>
      <c r="H5" s="4" t="s">
        <v>37</v>
      </c>
      <c r="I5" s="4">
        <v>0</v>
      </c>
      <c r="J5" s="4" t="s">
        <v>37</v>
      </c>
      <c r="K5" s="4">
        <f t="shared" si="0"/>
        <v>1100</v>
      </c>
    </row>
    <row r="6" spans="1:11" x14ac:dyDescent="0.25">
      <c r="A6" s="5" t="s">
        <v>454</v>
      </c>
      <c r="B6" s="5" t="s">
        <v>455</v>
      </c>
      <c r="C6" s="5" t="s">
        <v>27</v>
      </c>
      <c r="D6" s="5" t="s">
        <v>387</v>
      </c>
      <c r="E6" s="4">
        <v>1300</v>
      </c>
      <c r="F6" s="5"/>
      <c r="G6" s="4" t="s">
        <v>37</v>
      </c>
      <c r="H6" s="4" t="s">
        <v>37</v>
      </c>
      <c r="I6" s="4">
        <v>0</v>
      </c>
      <c r="J6" s="4" t="s">
        <v>37</v>
      </c>
      <c r="K6" s="4">
        <f t="shared" si="0"/>
        <v>1300</v>
      </c>
    </row>
    <row r="7" spans="1:11" x14ac:dyDescent="0.25">
      <c r="A7" s="5" t="s">
        <v>456</v>
      </c>
      <c r="B7" s="5" t="s">
        <v>229</v>
      </c>
      <c r="C7" s="5" t="s">
        <v>27</v>
      </c>
      <c r="D7" s="5" t="s">
        <v>457</v>
      </c>
      <c r="E7" s="4">
        <v>600</v>
      </c>
      <c r="F7" s="5"/>
      <c r="G7" s="4" t="s">
        <v>37</v>
      </c>
      <c r="H7" s="4" t="s">
        <v>37</v>
      </c>
      <c r="I7" s="4">
        <v>0</v>
      </c>
      <c r="J7" s="4" t="s">
        <v>37</v>
      </c>
      <c r="K7" s="4">
        <f t="shared" si="0"/>
        <v>600</v>
      </c>
    </row>
    <row r="8" spans="1:11" x14ac:dyDescent="0.25">
      <c r="A8" s="5" t="s">
        <v>458</v>
      </c>
      <c r="B8" s="5" t="s">
        <v>459</v>
      </c>
      <c r="C8" s="5" t="s">
        <v>27</v>
      </c>
      <c r="D8" s="5" t="s">
        <v>33</v>
      </c>
      <c r="E8" s="4">
        <v>350</v>
      </c>
      <c r="F8" s="5"/>
      <c r="G8" s="4" t="s">
        <v>37</v>
      </c>
      <c r="H8" s="4" t="s">
        <v>37</v>
      </c>
      <c r="I8" s="4">
        <v>0</v>
      </c>
      <c r="J8" s="4" t="s">
        <v>37</v>
      </c>
      <c r="K8" s="4">
        <f t="shared" si="0"/>
        <v>350</v>
      </c>
    </row>
    <row r="9" spans="1:11" x14ac:dyDescent="0.25">
      <c r="A9" s="5" t="s">
        <v>460</v>
      </c>
      <c r="B9" s="5" t="s">
        <v>461</v>
      </c>
      <c r="C9" s="5" t="s">
        <v>27</v>
      </c>
      <c r="D9" s="5" t="s">
        <v>462</v>
      </c>
      <c r="E9" s="4">
        <v>1300</v>
      </c>
      <c r="F9" s="5"/>
      <c r="G9" s="4" t="s">
        <v>463</v>
      </c>
      <c r="H9" s="4" t="s">
        <v>460</v>
      </c>
      <c r="I9" s="4">
        <v>350</v>
      </c>
      <c r="J9" s="4" t="s">
        <v>464</v>
      </c>
      <c r="K9" s="4">
        <f t="shared" si="0"/>
        <v>950</v>
      </c>
    </row>
    <row r="10" spans="1:11" x14ac:dyDescent="0.25">
      <c r="A10" s="5" t="s">
        <v>460</v>
      </c>
      <c r="B10" s="5" t="s">
        <v>465</v>
      </c>
      <c r="C10" s="5" t="s">
        <v>16</v>
      </c>
      <c r="D10" s="5" t="s">
        <v>466</v>
      </c>
      <c r="E10" s="4">
        <v>6650</v>
      </c>
      <c r="F10" s="5"/>
      <c r="G10" s="4" t="s">
        <v>467</v>
      </c>
      <c r="H10" s="4" t="s">
        <v>460</v>
      </c>
      <c r="I10" s="4">
        <v>2699.86</v>
      </c>
      <c r="J10" s="4" t="s">
        <v>468</v>
      </c>
      <c r="K10" s="4">
        <f t="shared" si="0"/>
        <v>3950.14</v>
      </c>
    </row>
    <row r="11" spans="1:11" x14ac:dyDescent="0.25">
      <c r="A11" s="5" t="s">
        <v>469</v>
      </c>
      <c r="B11" s="5" t="s">
        <v>470</v>
      </c>
      <c r="C11" s="5" t="s">
        <v>27</v>
      </c>
      <c r="D11" s="5" t="s">
        <v>33</v>
      </c>
      <c r="E11" s="4">
        <f>550+750</f>
        <v>1300</v>
      </c>
      <c r="F11" s="18"/>
      <c r="G11" s="4" t="s">
        <v>37</v>
      </c>
      <c r="H11" s="4" t="s">
        <v>37</v>
      </c>
      <c r="I11" s="4">
        <v>0</v>
      </c>
      <c r="J11" s="4" t="s">
        <v>37</v>
      </c>
      <c r="K11" s="4">
        <f t="shared" si="0"/>
        <v>1300</v>
      </c>
    </row>
    <row r="12" spans="1:11" x14ac:dyDescent="0.25">
      <c r="A12" s="5" t="s">
        <v>469</v>
      </c>
      <c r="B12" s="5" t="s">
        <v>471</v>
      </c>
      <c r="C12" s="5" t="s">
        <v>27</v>
      </c>
      <c r="D12" s="5" t="s">
        <v>33</v>
      </c>
      <c r="E12" s="4">
        <v>550</v>
      </c>
      <c r="F12" s="18"/>
      <c r="G12" s="4" t="s">
        <v>37</v>
      </c>
      <c r="H12" s="4" t="s">
        <v>37</v>
      </c>
      <c r="I12" s="4">
        <v>0</v>
      </c>
      <c r="J12" s="4" t="s">
        <v>37</v>
      </c>
      <c r="K12" s="4">
        <f t="shared" si="0"/>
        <v>550</v>
      </c>
    </row>
    <row r="13" spans="1:11" x14ac:dyDescent="0.25">
      <c r="A13" s="5" t="s">
        <v>472</v>
      </c>
      <c r="B13" s="5" t="s">
        <v>473</v>
      </c>
      <c r="C13" s="5" t="s">
        <v>27</v>
      </c>
      <c r="D13" s="5" t="s">
        <v>33</v>
      </c>
      <c r="E13" s="4">
        <v>1450</v>
      </c>
      <c r="F13" s="18"/>
      <c r="G13" s="4" t="s">
        <v>474</v>
      </c>
      <c r="H13" s="4" t="s">
        <v>472</v>
      </c>
      <c r="I13" s="4">
        <v>587</v>
      </c>
      <c r="J13" s="4" t="s">
        <v>475</v>
      </c>
      <c r="K13" s="4">
        <f t="shared" si="0"/>
        <v>863</v>
      </c>
    </row>
    <row r="14" spans="1:11" x14ac:dyDescent="0.25">
      <c r="A14" s="5" t="s">
        <v>445</v>
      </c>
      <c r="B14" s="5" t="s">
        <v>476</v>
      </c>
      <c r="C14" s="5" t="s">
        <v>27</v>
      </c>
      <c r="D14" s="5" t="s">
        <v>33</v>
      </c>
      <c r="E14" s="4">
        <v>3300</v>
      </c>
      <c r="F14" s="18"/>
      <c r="G14" s="4" t="s">
        <v>477</v>
      </c>
      <c r="H14" s="4" t="s">
        <v>445</v>
      </c>
      <c r="I14" s="4">
        <f>885+400</f>
        <v>1285</v>
      </c>
      <c r="J14" s="4"/>
      <c r="K14" s="4">
        <f t="shared" si="0"/>
        <v>2015</v>
      </c>
    </row>
    <row r="15" spans="1:11" x14ac:dyDescent="0.25">
      <c r="A15" s="5" t="s">
        <v>478</v>
      </c>
      <c r="B15" s="5" t="s">
        <v>481</v>
      </c>
      <c r="C15" s="5" t="s">
        <v>27</v>
      </c>
      <c r="D15" s="5" t="s">
        <v>33</v>
      </c>
      <c r="E15" s="4">
        <v>1950</v>
      </c>
      <c r="F15" s="18"/>
      <c r="G15" s="4" t="s">
        <v>37</v>
      </c>
      <c r="H15" s="4" t="s">
        <v>37</v>
      </c>
      <c r="I15" s="4">
        <v>0</v>
      </c>
      <c r="J15" s="4" t="s">
        <v>37</v>
      </c>
      <c r="K15" s="4">
        <f t="shared" si="0"/>
        <v>1950</v>
      </c>
    </row>
    <row r="16" spans="1:11" x14ac:dyDescent="0.25">
      <c r="A16" s="5" t="s">
        <v>478</v>
      </c>
      <c r="B16" s="5" t="s">
        <v>479</v>
      </c>
      <c r="C16" s="5" t="s">
        <v>27</v>
      </c>
      <c r="D16" s="5" t="s">
        <v>33</v>
      </c>
      <c r="E16" s="4">
        <v>200</v>
      </c>
      <c r="F16" s="18"/>
      <c r="G16" s="4" t="s">
        <v>37</v>
      </c>
      <c r="H16" s="4" t="s">
        <v>37</v>
      </c>
      <c r="I16" s="4">
        <v>0</v>
      </c>
      <c r="J16" s="4" t="s">
        <v>37</v>
      </c>
      <c r="K16" s="4">
        <f t="shared" si="0"/>
        <v>200</v>
      </c>
    </row>
    <row r="17" spans="1:11" x14ac:dyDescent="0.25">
      <c r="A17" s="5" t="s">
        <v>478</v>
      </c>
      <c r="B17" s="5" t="s">
        <v>480</v>
      </c>
      <c r="C17" s="5" t="s">
        <v>27</v>
      </c>
      <c r="D17" s="5" t="s">
        <v>33</v>
      </c>
      <c r="E17" s="4">
        <v>3250</v>
      </c>
      <c r="F17" s="18"/>
      <c r="G17" s="4" t="s">
        <v>37</v>
      </c>
      <c r="H17" s="4" t="s">
        <v>37</v>
      </c>
      <c r="I17" s="4">
        <v>0</v>
      </c>
      <c r="J17" s="4" t="s">
        <v>37</v>
      </c>
      <c r="K17" s="4">
        <f t="shared" si="0"/>
        <v>3250</v>
      </c>
    </row>
    <row r="18" spans="1:11" x14ac:dyDescent="0.25">
      <c r="A18" s="5" t="s">
        <v>482</v>
      </c>
      <c r="B18" s="5" t="s">
        <v>184</v>
      </c>
      <c r="C18" s="5" t="s">
        <v>27</v>
      </c>
      <c r="D18" s="5" t="s">
        <v>381</v>
      </c>
      <c r="E18" s="4">
        <v>850</v>
      </c>
      <c r="F18" s="18"/>
      <c r="G18" s="4" t="s">
        <v>37</v>
      </c>
      <c r="H18" s="4" t="s">
        <v>37</v>
      </c>
      <c r="I18" s="4">
        <v>0</v>
      </c>
      <c r="J18" s="4" t="s">
        <v>37</v>
      </c>
      <c r="K18" s="4">
        <f t="shared" si="0"/>
        <v>850</v>
      </c>
    </row>
    <row r="19" spans="1:11" x14ac:dyDescent="0.25">
      <c r="A19" s="5" t="s">
        <v>483</v>
      </c>
      <c r="B19" s="5" t="s">
        <v>484</v>
      </c>
      <c r="C19" s="5" t="s">
        <v>27</v>
      </c>
      <c r="D19" s="5" t="s">
        <v>33</v>
      </c>
      <c r="E19" s="4">
        <v>350</v>
      </c>
      <c r="F19" s="18"/>
      <c r="G19" s="4" t="s">
        <v>37</v>
      </c>
      <c r="H19" s="4" t="s">
        <v>37</v>
      </c>
      <c r="I19" s="4">
        <v>0</v>
      </c>
      <c r="J19" s="4" t="s">
        <v>37</v>
      </c>
      <c r="K19" s="4">
        <f t="shared" ref="K19" si="1">E19-I19</f>
        <v>350</v>
      </c>
    </row>
    <row r="20" spans="1:11" x14ac:dyDescent="0.25">
      <c r="A20" s="5" t="s">
        <v>483</v>
      </c>
      <c r="B20" s="5" t="s">
        <v>485</v>
      </c>
      <c r="C20" s="5" t="s">
        <v>27</v>
      </c>
      <c r="D20" s="5" t="s">
        <v>33</v>
      </c>
      <c r="E20" s="4">
        <v>550</v>
      </c>
      <c r="F20" s="18"/>
      <c r="G20" s="4" t="s">
        <v>37</v>
      </c>
      <c r="H20" s="4" t="s">
        <v>37</v>
      </c>
      <c r="I20" s="4">
        <v>0</v>
      </c>
      <c r="J20" s="4" t="s">
        <v>37</v>
      </c>
      <c r="K20" s="4">
        <f t="shared" ref="K20" si="2">E20-I20</f>
        <v>550</v>
      </c>
    </row>
    <row r="21" spans="1:11" x14ac:dyDescent="0.25">
      <c r="A21" s="5" t="s">
        <v>483</v>
      </c>
      <c r="B21" s="5" t="s">
        <v>486</v>
      </c>
      <c r="C21" s="5" t="s">
        <v>27</v>
      </c>
      <c r="D21" s="5" t="s">
        <v>33</v>
      </c>
      <c r="E21" s="4">
        <v>550</v>
      </c>
      <c r="F21" s="18"/>
      <c r="G21" s="4" t="s">
        <v>37</v>
      </c>
      <c r="H21" s="4" t="s">
        <v>37</v>
      </c>
      <c r="I21" s="4">
        <v>0</v>
      </c>
      <c r="J21" s="4" t="s">
        <v>37</v>
      </c>
      <c r="K21" s="4">
        <f t="shared" ref="K21" si="3">E21-I21</f>
        <v>550</v>
      </c>
    </row>
    <row r="22" spans="1:11" x14ac:dyDescent="0.25">
      <c r="A22" s="5" t="s">
        <v>483</v>
      </c>
      <c r="B22" s="5" t="s">
        <v>487</v>
      </c>
      <c r="C22" s="5" t="s">
        <v>27</v>
      </c>
      <c r="D22" s="5" t="s">
        <v>33</v>
      </c>
      <c r="E22" s="4">
        <v>2800</v>
      </c>
      <c r="F22" s="18"/>
      <c r="G22" s="4" t="s">
        <v>488</v>
      </c>
      <c r="H22" s="4" t="s">
        <v>483</v>
      </c>
      <c r="I22" s="4">
        <v>1500</v>
      </c>
      <c r="J22" s="4"/>
      <c r="K22" s="4">
        <f t="shared" si="0"/>
        <v>1300</v>
      </c>
    </row>
    <row r="23" spans="1:11" x14ac:dyDescent="0.25">
      <c r="F23" s="16"/>
      <c r="H23" s="10"/>
      <c r="J23" s="10"/>
      <c r="K23" s="10">
        <f t="shared" si="0"/>
        <v>0</v>
      </c>
    </row>
    <row r="24" spans="1:11" x14ac:dyDescent="0.25">
      <c r="F24" s="16"/>
      <c r="H24" s="10"/>
      <c r="J24" s="10"/>
      <c r="K24" s="10">
        <f t="shared" si="0"/>
        <v>0</v>
      </c>
    </row>
    <row r="25" spans="1:11" x14ac:dyDescent="0.25">
      <c r="F25" s="16"/>
      <c r="H25" s="10"/>
      <c r="J25" s="10"/>
      <c r="K25" s="10">
        <f t="shared" si="0"/>
        <v>0</v>
      </c>
    </row>
    <row r="26" spans="1:11" x14ac:dyDescent="0.25">
      <c r="F26" s="16"/>
      <c r="H26" s="10"/>
      <c r="J26" s="10"/>
      <c r="K26" s="10">
        <f t="shared" si="0"/>
        <v>0</v>
      </c>
    </row>
    <row r="27" spans="1:11" x14ac:dyDescent="0.25">
      <c r="F27" s="16"/>
      <c r="H27" s="10"/>
      <c r="J27" s="10"/>
      <c r="K27" s="10">
        <f t="shared" si="0"/>
        <v>0</v>
      </c>
    </row>
    <row r="28" spans="1:11" x14ac:dyDescent="0.25">
      <c r="F28" s="16"/>
      <c r="H28" s="10"/>
      <c r="J28" s="10"/>
      <c r="K28" s="10">
        <f t="shared" si="0"/>
        <v>0</v>
      </c>
    </row>
    <row r="29" spans="1:11" x14ac:dyDescent="0.25">
      <c r="F29" s="16"/>
      <c r="H29" s="10"/>
      <c r="J29" s="10"/>
    </row>
    <row r="30" spans="1:11" x14ac:dyDescent="0.25">
      <c r="F30" s="16"/>
    </row>
    <row r="31" spans="1:11" s="11" customFormat="1" x14ac:dyDescent="0.25">
      <c r="A31" s="11" t="s">
        <v>441</v>
      </c>
      <c r="E31" s="12"/>
      <c r="F31" s="17"/>
      <c r="G31" s="12"/>
      <c r="I31" s="12"/>
      <c r="K31" s="12"/>
    </row>
    <row r="32" spans="1:11" x14ac:dyDescent="0.25">
      <c r="F32" s="16"/>
    </row>
    <row r="33" spans="1:10" x14ac:dyDescent="0.25">
      <c r="A33" s="5" t="s">
        <v>442</v>
      </c>
      <c r="B33" s="5" t="s">
        <v>108</v>
      </c>
      <c r="C33" s="4">
        <v>1200</v>
      </c>
      <c r="H33" s="10"/>
      <c r="J33" s="10"/>
    </row>
    <row r="34" spans="1:10" x14ac:dyDescent="0.25">
      <c r="A34" s="5" t="s">
        <v>442</v>
      </c>
      <c r="B34" s="5" t="s">
        <v>297</v>
      </c>
      <c r="C34" s="4">
        <v>1200</v>
      </c>
      <c r="F34" s="16"/>
    </row>
    <row r="35" spans="1:10" x14ac:dyDescent="0.25">
      <c r="A35" s="5" t="s">
        <v>442</v>
      </c>
      <c r="B35" s="5" t="s">
        <v>395</v>
      </c>
      <c r="C35" s="4">
        <v>500</v>
      </c>
      <c r="F35" s="16"/>
    </row>
    <row r="36" spans="1:10" x14ac:dyDescent="0.25">
      <c r="A36" s="5" t="s">
        <v>443</v>
      </c>
      <c r="B36" s="5" t="s">
        <v>108</v>
      </c>
      <c r="C36" s="4">
        <v>1200</v>
      </c>
      <c r="F36" s="16"/>
    </row>
    <row r="37" spans="1:10" x14ac:dyDescent="0.25">
      <c r="A37" s="5" t="s">
        <v>443</v>
      </c>
      <c r="B37" s="5" t="s">
        <v>297</v>
      </c>
      <c r="C37" s="4">
        <v>1200</v>
      </c>
      <c r="F37" s="16"/>
    </row>
    <row r="38" spans="1:10" x14ac:dyDescent="0.25">
      <c r="A38" s="5" t="s">
        <v>443</v>
      </c>
      <c r="B38" s="5" t="s">
        <v>395</v>
      </c>
      <c r="C38" s="4">
        <v>500</v>
      </c>
      <c r="F38" s="16"/>
    </row>
    <row r="39" spans="1:10" x14ac:dyDescent="0.25">
      <c r="A39" s="5" t="s">
        <v>444</v>
      </c>
      <c r="B39" s="5" t="s">
        <v>108</v>
      </c>
      <c r="C39" s="4">
        <v>1200</v>
      </c>
      <c r="F39" s="16"/>
    </row>
    <row r="40" spans="1:10" x14ac:dyDescent="0.25">
      <c r="A40" s="5" t="s">
        <v>444</v>
      </c>
      <c r="B40" s="5" t="s">
        <v>297</v>
      </c>
      <c r="C40" s="4">
        <v>1200</v>
      </c>
      <c r="F40" s="16"/>
    </row>
    <row r="41" spans="1:10" s="10" customFormat="1" x14ac:dyDescent="0.25">
      <c r="A41" s="5" t="s">
        <v>447</v>
      </c>
      <c r="B41" s="5" t="s">
        <v>206</v>
      </c>
      <c r="C41" s="4">
        <v>6000</v>
      </c>
      <c r="D41" s="9"/>
      <c r="F41" s="9"/>
      <c r="H41" s="9"/>
      <c r="J41" s="9"/>
    </row>
    <row r="42" spans="1:10" s="10" customFormat="1" x14ac:dyDescent="0.25">
      <c r="A42" s="5" t="s">
        <v>445</v>
      </c>
      <c r="B42" s="5" t="s">
        <v>108</v>
      </c>
      <c r="C42" s="4">
        <v>1200</v>
      </c>
      <c r="D42" s="9"/>
      <c r="F42" s="16"/>
      <c r="H42" s="9"/>
      <c r="J42" s="9"/>
    </row>
    <row r="43" spans="1:10" s="10" customFormat="1" x14ac:dyDescent="0.25">
      <c r="A43" s="5" t="s">
        <v>445</v>
      </c>
      <c r="B43" s="5" t="s">
        <v>297</v>
      </c>
      <c r="C43" s="4">
        <v>1200</v>
      </c>
      <c r="D43" s="9"/>
      <c r="F43" s="16"/>
      <c r="H43" s="9"/>
      <c r="J43" s="9"/>
    </row>
    <row r="44" spans="1:10" s="10" customFormat="1" x14ac:dyDescent="0.25">
      <c r="A44" s="9" t="s">
        <v>446</v>
      </c>
      <c r="B44" s="9" t="s">
        <v>398</v>
      </c>
      <c r="C44" s="10">
        <v>3500</v>
      </c>
      <c r="D44" s="9"/>
      <c r="F44" s="9"/>
      <c r="H44" s="9"/>
      <c r="J44" s="9"/>
    </row>
    <row r="45" spans="1:10" s="10" customFormat="1" x14ac:dyDescent="0.25">
      <c r="A45" s="5" t="s">
        <v>446</v>
      </c>
      <c r="B45" s="5" t="s">
        <v>87</v>
      </c>
      <c r="C45" s="4">
        <v>2000</v>
      </c>
      <c r="D45" s="9"/>
      <c r="F45" s="9"/>
      <c r="H45" s="9"/>
      <c r="J45" s="9"/>
    </row>
    <row r="46" spans="1:10" s="10" customFormat="1" x14ac:dyDescent="0.25">
      <c r="A46" s="9"/>
      <c r="B46" s="9"/>
      <c r="D46" s="9"/>
      <c r="F46" s="9"/>
      <c r="H46" s="9"/>
      <c r="J46" s="9"/>
    </row>
    <row r="47" spans="1:10" s="10" customFormat="1" x14ac:dyDescent="0.25">
      <c r="A47" s="9"/>
      <c r="B47" s="9"/>
      <c r="D47" s="9"/>
      <c r="F47" s="9"/>
      <c r="H47" s="9"/>
      <c r="J47" s="9"/>
    </row>
    <row r="48" spans="1:10" s="10" customFormat="1" x14ac:dyDescent="0.25">
      <c r="A48" s="9"/>
      <c r="B48" s="9"/>
      <c r="D48" s="9"/>
      <c r="F48" s="9"/>
      <c r="H48" s="9"/>
      <c r="J48" s="9"/>
    </row>
    <row r="49" spans="1:10" s="10" customFormat="1" x14ac:dyDescent="0.25">
      <c r="A49" s="9"/>
      <c r="B49" s="9"/>
      <c r="D49" s="9"/>
      <c r="F49" s="9"/>
      <c r="H49" s="9"/>
      <c r="J49" s="9"/>
    </row>
    <row r="50" spans="1:10" s="10" customFormat="1" x14ac:dyDescent="0.25">
      <c r="A50" s="9"/>
      <c r="B50" s="9"/>
      <c r="D50" s="9"/>
      <c r="F50" s="9"/>
    </row>
    <row r="51" spans="1:10" s="10" customFormat="1" x14ac:dyDescent="0.25">
      <c r="A51" s="9"/>
      <c r="B51" s="9"/>
      <c r="D51" s="9"/>
      <c r="F51" s="9"/>
    </row>
    <row r="52" spans="1:10" s="10" customFormat="1" x14ac:dyDescent="0.25">
      <c r="A52" s="9"/>
      <c r="B52" s="9"/>
      <c r="D52" s="9"/>
      <c r="F52" s="9"/>
    </row>
    <row r="53" spans="1:10" s="10" customFormat="1" x14ac:dyDescent="0.25">
      <c r="A53" s="9"/>
      <c r="B53" s="9"/>
      <c r="D53" s="9"/>
      <c r="F53" s="9"/>
    </row>
    <row r="54" spans="1:10" s="10" customFormat="1" x14ac:dyDescent="0.25">
      <c r="A54" s="9"/>
      <c r="B54" s="9"/>
      <c r="C54" s="9"/>
      <c r="D54" s="9"/>
      <c r="F54" s="9"/>
    </row>
    <row r="55" spans="1:10" s="10" customFormat="1" x14ac:dyDescent="0.25"/>
    <row r="56" spans="1:10" s="10" customFormat="1" x14ac:dyDescent="0.25"/>
    <row r="57" spans="1:10" s="10" customFormat="1" x14ac:dyDescent="0.25"/>
    <row r="58" spans="1:10" s="10" customFormat="1" x14ac:dyDescent="0.25"/>
    <row r="59" spans="1:10" s="10" customFormat="1" x14ac:dyDescent="0.25"/>
    <row r="60" spans="1:10" s="10" customFormat="1" x14ac:dyDescent="0.25"/>
    <row r="61" spans="1:10" s="10" customFormat="1" x14ac:dyDescent="0.25"/>
    <row r="62" spans="1:10" s="10" customFormat="1" x14ac:dyDescent="0.25">
      <c r="H62" s="9"/>
      <c r="J62" s="9"/>
    </row>
    <row r="63" spans="1:10" s="10" customFormat="1" x14ac:dyDescent="0.25">
      <c r="H63" s="9"/>
      <c r="J63" s="9"/>
    </row>
    <row r="64" spans="1:10" s="10" customFormat="1" x14ac:dyDescent="0.25">
      <c r="H64" s="9"/>
      <c r="J64" s="9"/>
    </row>
    <row r="65" spans="1:11" s="10" customFormat="1" x14ac:dyDescent="0.25">
      <c r="H65" s="9"/>
      <c r="J65" s="9"/>
    </row>
    <row r="66" spans="1:11" s="10" customFormat="1" x14ac:dyDescent="0.25">
      <c r="H66" s="9"/>
      <c r="J66" s="9"/>
    </row>
    <row r="67" spans="1:11" s="10" customFormat="1" x14ac:dyDescent="0.25">
      <c r="H67" s="9"/>
      <c r="J67" s="9"/>
    </row>
    <row r="68" spans="1:11" s="10" customFormat="1" x14ac:dyDescent="0.25">
      <c r="H68" s="9"/>
      <c r="J68" s="9"/>
    </row>
    <row r="69" spans="1:11" s="10" customFormat="1" x14ac:dyDescent="0.25">
      <c r="H69" s="9"/>
      <c r="J69" s="9"/>
    </row>
    <row r="70" spans="1:11" s="10" customFormat="1" x14ac:dyDescent="0.25">
      <c r="H70" s="9"/>
      <c r="J70" s="9"/>
    </row>
    <row r="71" spans="1:11" s="10" customFormat="1" x14ac:dyDescent="0.25">
      <c r="H71" s="9"/>
      <c r="J71" s="9"/>
    </row>
    <row r="72" spans="1:11" s="10" customFormat="1" x14ac:dyDescent="0.25">
      <c r="H72" s="9"/>
      <c r="J72" s="9"/>
    </row>
    <row r="73" spans="1:11" s="10" customFormat="1" x14ac:dyDescent="0.25">
      <c r="H73" s="9"/>
      <c r="J73" s="9"/>
    </row>
    <row r="74" spans="1:11" s="10" customFormat="1" x14ac:dyDescent="0.25">
      <c r="H74" s="9"/>
      <c r="J74" s="9"/>
    </row>
    <row r="75" spans="1:11" s="10" customFormat="1" x14ac:dyDescent="0.25">
      <c r="H75" s="9"/>
      <c r="J75" s="9"/>
    </row>
    <row r="76" spans="1:11" s="11" customFormat="1" x14ac:dyDescent="0.25">
      <c r="C76" s="12"/>
      <c r="E76" s="12"/>
      <c r="G76" s="12"/>
      <c r="I76" s="12"/>
      <c r="K76" s="12"/>
    </row>
    <row r="77" spans="1:11" x14ac:dyDescent="0.25">
      <c r="C77" s="10"/>
    </row>
    <row r="78" spans="1:11" x14ac:dyDescent="0.25">
      <c r="A78" s="13"/>
      <c r="C78" s="10"/>
    </row>
    <row r="79" spans="1:11" x14ac:dyDescent="0.25">
      <c r="C79" s="10"/>
    </row>
    <row r="80" spans="1:11" x14ac:dyDescent="0.25"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84" spans="3:3" x14ac:dyDescent="0.25">
      <c r="C84" s="10"/>
    </row>
    <row r="85" spans="3:3" x14ac:dyDescent="0.25">
      <c r="C85" s="10"/>
    </row>
    <row r="86" spans="3:3" x14ac:dyDescent="0.25">
      <c r="C86" s="10"/>
    </row>
    <row r="87" spans="3:3" x14ac:dyDescent="0.25">
      <c r="C87" s="10"/>
    </row>
    <row r="88" spans="3:3" x14ac:dyDescent="0.25">
      <c r="C88" s="10"/>
    </row>
    <row r="89" spans="3:3" x14ac:dyDescent="0.25">
      <c r="C89" s="10"/>
    </row>
    <row r="90" spans="3:3" x14ac:dyDescent="0.25">
      <c r="C90" s="10"/>
    </row>
    <row r="91" spans="3:3" x14ac:dyDescent="0.25">
      <c r="C91" s="10"/>
    </row>
    <row r="92" spans="3:3" x14ac:dyDescent="0.25">
      <c r="C92" s="10"/>
    </row>
    <row r="93" spans="3:3" x14ac:dyDescent="0.25">
      <c r="C93" s="10"/>
    </row>
    <row r="94" spans="3:3" x14ac:dyDescent="0.25">
      <c r="C94" s="1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94"/>
  <sheetViews>
    <sheetView topLeftCell="B1" workbookViewId="0">
      <pane ySplit="3" topLeftCell="A4" activePane="bottomLeft" state="frozen"/>
      <selection activeCell="K26" activeCellId="1" sqref="K29:K30 K26"/>
      <selection pane="bottomLeft" activeCell="A13" sqref="A13:K13"/>
    </sheetView>
  </sheetViews>
  <sheetFormatPr baseColWidth="10" defaultColWidth="10.7109375" defaultRowHeight="15" x14ac:dyDescent="0.25"/>
  <cols>
    <col min="1" max="1" width="22.7109375" style="9" customWidth="1"/>
    <col min="2" max="2" width="62.28515625" style="9" customWidth="1"/>
    <col min="3" max="3" width="22.42578125" style="9" customWidth="1"/>
    <col min="4" max="4" width="37.5703125" style="9" customWidth="1"/>
    <col min="5" max="5" width="10.7109375" style="10"/>
    <col min="6" max="6" width="10.7109375" style="9" hidden="1" customWidth="1"/>
    <col min="7" max="7" width="32.28515625" style="10" customWidth="1"/>
    <col min="8" max="8" width="21.28515625" style="9" customWidth="1"/>
    <col min="9" max="9" width="18" style="10" customWidth="1"/>
    <col min="10" max="10" width="18.140625" style="9" customWidth="1"/>
    <col min="11" max="11" width="12.7109375" style="10" customWidth="1"/>
    <col min="12" max="16384" width="10.7109375" style="9"/>
  </cols>
  <sheetData>
    <row r="1" spans="1:11" s="11" customFormat="1" x14ac:dyDescent="0.25">
      <c r="A1" s="11" t="s">
        <v>0</v>
      </c>
      <c r="E1" s="12"/>
      <c r="G1" s="12"/>
      <c r="I1" s="12"/>
    </row>
    <row r="3" spans="1:11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12" t="s">
        <v>13</v>
      </c>
    </row>
    <row r="4" spans="1:11" x14ac:dyDescent="0.25">
      <c r="A4" s="5" t="s">
        <v>489</v>
      </c>
      <c r="B4" s="5" t="s">
        <v>490</v>
      </c>
      <c r="C4" s="5" t="s">
        <v>27</v>
      </c>
      <c r="D4" s="5" t="s">
        <v>33</v>
      </c>
      <c r="E4" s="4">
        <v>1700</v>
      </c>
      <c r="F4" s="5"/>
      <c r="G4" s="4" t="s">
        <v>491</v>
      </c>
      <c r="H4" s="4" t="s">
        <v>37</v>
      </c>
      <c r="I4" s="4">
        <v>0</v>
      </c>
      <c r="J4" s="4" t="s">
        <v>37</v>
      </c>
      <c r="K4" s="4">
        <f t="shared" ref="K4:K13" si="0">E4-I4</f>
        <v>1700</v>
      </c>
    </row>
    <row r="5" spans="1:11" x14ac:dyDescent="0.25">
      <c r="A5" s="5" t="s">
        <v>489</v>
      </c>
      <c r="B5" s="5" t="s">
        <v>184</v>
      </c>
      <c r="C5" s="5" t="s">
        <v>27</v>
      </c>
      <c r="D5" s="5" t="s">
        <v>33</v>
      </c>
      <c r="E5" s="4">
        <v>750</v>
      </c>
      <c r="F5" s="5"/>
      <c r="G5" s="4" t="s">
        <v>403</v>
      </c>
      <c r="H5" s="4" t="s">
        <v>37</v>
      </c>
      <c r="I5" s="4">
        <v>300</v>
      </c>
      <c r="J5" s="4" t="s">
        <v>403</v>
      </c>
      <c r="K5" s="4">
        <f t="shared" si="0"/>
        <v>450</v>
      </c>
    </row>
    <row r="6" spans="1:11" x14ac:dyDescent="0.25">
      <c r="A6" s="5" t="s">
        <v>489</v>
      </c>
      <c r="B6" s="5" t="s">
        <v>492</v>
      </c>
      <c r="C6" s="5" t="s">
        <v>27</v>
      </c>
      <c r="D6" s="5" t="s">
        <v>33</v>
      </c>
      <c r="E6" s="4">
        <v>550</v>
      </c>
      <c r="F6" s="5"/>
      <c r="G6" s="4" t="s">
        <v>37</v>
      </c>
      <c r="H6" s="4" t="s">
        <v>37</v>
      </c>
      <c r="I6" s="4">
        <v>0</v>
      </c>
      <c r="J6" s="4" t="s">
        <v>37</v>
      </c>
      <c r="K6" s="4">
        <f t="shared" si="0"/>
        <v>550</v>
      </c>
    </row>
    <row r="7" spans="1:11" x14ac:dyDescent="0.25">
      <c r="A7" s="5" t="s">
        <v>493</v>
      </c>
      <c r="B7" s="5" t="s">
        <v>78</v>
      </c>
      <c r="C7" s="5" t="s">
        <v>27</v>
      </c>
      <c r="D7" s="5" t="s">
        <v>33</v>
      </c>
      <c r="E7" s="4">
        <v>350</v>
      </c>
      <c r="G7" s="4" t="s">
        <v>37</v>
      </c>
      <c r="H7" s="4" t="s">
        <v>37</v>
      </c>
      <c r="I7" s="4">
        <v>0</v>
      </c>
      <c r="J7" s="4" t="s">
        <v>37</v>
      </c>
      <c r="K7" s="4">
        <f t="shared" si="0"/>
        <v>350</v>
      </c>
    </row>
    <row r="8" spans="1:11" x14ac:dyDescent="0.25">
      <c r="A8" s="5" t="s">
        <v>502</v>
      </c>
      <c r="B8" s="5" t="s">
        <v>503</v>
      </c>
      <c r="C8" s="5" t="s">
        <v>27</v>
      </c>
      <c r="D8" s="5" t="s">
        <v>33</v>
      </c>
      <c r="E8" s="4">
        <v>850</v>
      </c>
      <c r="F8" s="5"/>
      <c r="G8" s="4" t="s">
        <v>37</v>
      </c>
      <c r="H8" s="4" t="s">
        <v>37</v>
      </c>
      <c r="I8" s="4">
        <v>0</v>
      </c>
      <c r="J8" s="4" t="s">
        <v>37</v>
      </c>
      <c r="K8" s="4">
        <f t="shared" si="0"/>
        <v>850</v>
      </c>
    </row>
    <row r="9" spans="1:11" x14ac:dyDescent="0.25">
      <c r="A9" s="5" t="s">
        <v>502</v>
      </c>
      <c r="B9" s="5" t="s">
        <v>504</v>
      </c>
      <c r="C9" s="5" t="s">
        <v>27</v>
      </c>
      <c r="D9" s="5" t="s">
        <v>168</v>
      </c>
      <c r="E9" s="4">
        <v>600</v>
      </c>
      <c r="F9" s="5"/>
      <c r="G9" s="4" t="s">
        <v>37</v>
      </c>
      <c r="H9" s="4" t="s">
        <v>37</v>
      </c>
      <c r="I9" s="4">
        <v>0</v>
      </c>
      <c r="J9" s="4" t="s">
        <v>37</v>
      </c>
      <c r="K9" s="4">
        <f t="shared" si="0"/>
        <v>600</v>
      </c>
    </row>
    <row r="10" spans="1:11" x14ac:dyDescent="0.25">
      <c r="A10" s="5" t="s">
        <v>502</v>
      </c>
      <c r="B10" s="5" t="s">
        <v>505</v>
      </c>
      <c r="C10" s="5" t="s">
        <v>27</v>
      </c>
      <c r="D10" s="5" t="s">
        <v>168</v>
      </c>
      <c r="E10" s="4">
        <v>600</v>
      </c>
      <c r="F10" s="5"/>
      <c r="G10" s="4" t="s">
        <v>37</v>
      </c>
      <c r="H10" s="4" t="s">
        <v>37</v>
      </c>
      <c r="I10" s="4">
        <v>0</v>
      </c>
      <c r="J10" s="4"/>
      <c r="K10" s="4">
        <f t="shared" si="0"/>
        <v>600</v>
      </c>
    </row>
    <row r="11" spans="1:11" x14ac:dyDescent="0.25">
      <c r="A11" s="5" t="s">
        <v>502</v>
      </c>
      <c r="B11" s="5" t="s">
        <v>506</v>
      </c>
      <c r="C11" s="5" t="s">
        <v>27</v>
      </c>
      <c r="D11" s="5" t="s">
        <v>33</v>
      </c>
      <c r="E11" s="4">
        <v>2900</v>
      </c>
      <c r="F11" s="18"/>
      <c r="G11" s="4" t="s">
        <v>507</v>
      </c>
      <c r="H11" s="4" t="s">
        <v>508</v>
      </c>
      <c r="I11" s="4">
        <v>800</v>
      </c>
      <c r="J11" s="4" t="s">
        <v>37</v>
      </c>
      <c r="K11" s="4">
        <f t="shared" si="0"/>
        <v>2100</v>
      </c>
    </row>
    <row r="12" spans="1:11" x14ac:dyDescent="0.25">
      <c r="A12" s="5" t="s">
        <v>509</v>
      </c>
      <c r="B12" s="5" t="s">
        <v>510</v>
      </c>
      <c r="C12" s="5" t="s">
        <v>27</v>
      </c>
      <c r="D12" s="5" t="s">
        <v>33</v>
      </c>
      <c r="E12" s="4">
        <v>1400</v>
      </c>
      <c r="F12" s="18"/>
      <c r="G12" s="4" t="s">
        <v>37</v>
      </c>
      <c r="H12" s="4" t="s">
        <v>37</v>
      </c>
      <c r="I12" s="4">
        <v>0</v>
      </c>
      <c r="J12" s="4" t="s">
        <v>37</v>
      </c>
      <c r="K12" s="4">
        <f t="shared" si="0"/>
        <v>1400</v>
      </c>
    </row>
    <row r="13" spans="1:11" x14ac:dyDescent="0.25">
      <c r="A13" s="5" t="s">
        <v>498</v>
      </c>
      <c r="B13" s="5" t="s">
        <v>511</v>
      </c>
      <c r="C13" s="5" t="s">
        <v>27</v>
      </c>
      <c r="D13" s="5" t="s">
        <v>33</v>
      </c>
      <c r="E13" s="4">
        <v>600</v>
      </c>
      <c r="F13" s="18"/>
      <c r="G13" s="4" t="s">
        <v>37</v>
      </c>
      <c r="H13" s="4" t="s">
        <v>37</v>
      </c>
      <c r="I13" s="4">
        <v>0</v>
      </c>
      <c r="J13" s="4" t="s">
        <v>37</v>
      </c>
      <c r="K13" s="4">
        <f t="shared" si="0"/>
        <v>600</v>
      </c>
    </row>
    <row r="14" spans="1:11" x14ac:dyDescent="0.25">
      <c r="F14" s="16"/>
      <c r="H14" s="10"/>
      <c r="J14" s="10"/>
    </row>
    <row r="15" spans="1:11" x14ac:dyDescent="0.25">
      <c r="F15" s="16"/>
      <c r="H15" s="10"/>
      <c r="J15" s="10"/>
    </row>
    <row r="16" spans="1:11" x14ac:dyDescent="0.25">
      <c r="F16" s="16"/>
      <c r="H16" s="10"/>
      <c r="J16" s="10"/>
    </row>
    <row r="17" spans="1:11" x14ac:dyDescent="0.25">
      <c r="F17" s="16"/>
      <c r="H17" s="10"/>
      <c r="J17" s="10"/>
    </row>
    <row r="18" spans="1:11" x14ac:dyDescent="0.25">
      <c r="F18" s="16"/>
      <c r="H18" s="10"/>
      <c r="J18" s="10"/>
    </row>
    <row r="19" spans="1:11" x14ac:dyDescent="0.25">
      <c r="F19" s="16"/>
      <c r="H19" s="10"/>
      <c r="J19" s="10"/>
    </row>
    <row r="20" spans="1:11" x14ac:dyDescent="0.25">
      <c r="F20" s="16"/>
      <c r="H20" s="10"/>
      <c r="J20" s="10"/>
    </row>
    <row r="21" spans="1:11" x14ac:dyDescent="0.25">
      <c r="F21" s="16"/>
      <c r="H21" s="10"/>
      <c r="J21" s="10"/>
    </row>
    <row r="22" spans="1:11" x14ac:dyDescent="0.25">
      <c r="F22" s="16"/>
      <c r="H22" s="10"/>
      <c r="J22" s="10"/>
    </row>
    <row r="23" spans="1:11" x14ac:dyDescent="0.25">
      <c r="F23" s="16"/>
      <c r="H23" s="10"/>
      <c r="J23" s="10"/>
      <c r="K23" s="10">
        <f t="shared" ref="K23:K28" si="1">E23-I23</f>
        <v>0</v>
      </c>
    </row>
    <row r="24" spans="1:11" x14ac:dyDescent="0.25">
      <c r="F24" s="16"/>
      <c r="H24" s="10"/>
      <c r="J24" s="10"/>
      <c r="K24" s="10">
        <f t="shared" si="1"/>
        <v>0</v>
      </c>
    </row>
    <row r="25" spans="1:11" x14ac:dyDescent="0.25">
      <c r="F25" s="16"/>
      <c r="H25" s="10"/>
      <c r="J25" s="10"/>
      <c r="K25" s="10">
        <f t="shared" si="1"/>
        <v>0</v>
      </c>
    </row>
    <row r="26" spans="1:11" x14ac:dyDescent="0.25">
      <c r="F26" s="16"/>
      <c r="H26" s="10"/>
      <c r="J26" s="10"/>
      <c r="K26" s="10">
        <f t="shared" si="1"/>
        <v>0</v>
      </c>
    </row>
    <row r="27" spans="1:11" x14ac:dyDescent="0.25">
      <c r="F27" s="16"/>
      <c r="H27" s="10"/>
      <c r="J27" s="10"/>
      <c r="K27" s="10">
        <f t="shared" si="1"/>
        <v>0</v>
      </c>
    </row>
    <row r="28" spans="1:11" x14ac:dyDescent="0.25">
      <c r="F28" s="16"/>
      <c r="H28" s="10"/>
      <c r="J28" s="10"/>
      <c r="K28" s="10">
        <f t="shared" si="1"/>
        <v>0</v>
      </c>
    </row>
    <row r="29" spans="1:11" x14ac:dyDescent="0.25">
      <c r="F29" s="16"/>
      <c r="H29" s="10"/>
      <c r="J29" s="10"/>
    </row>
    <row r="30" spans="1:11" x14ac:dyDescent="0.25">
      <c r="F30" s="16"/>
    </row>
    <row r="31" spans="1:11" s="11" customFormat="1" x14ac:dyDescent="0.25">
      <c r="A31" s="11" t="s">
        <v>441</v>
      </c>
      <c r="E31" s="12"/>
      <c r="F31" s="17"/>
      <c r="G31" s="12"/>
      <c r="I31" s="12"/>
      <c r="K31" s="12"/>
    </row>
    <row r="32" spans="1:11" x14ac:dyDescent="0.25">
      <c r="F32" s="16"/>
    </row>
    <row r="33" spans="1:10" x14ac:dyDescent="0.25">
      <c r="A33" s="21" t="s">
        <v>494</v>
      </c>
      <c r="B33" s="21" t="s">
        <v>108</v>
      </c>
      <c r="C33" s="22">
        <v>1200</v>
      </c>
      <c r="H33" s="10"/>
      <c r="J33" s="10"/>
    </row>
    <row r="34" spans="1:10" x14ac:dyDescent="0.25">
      <c r="A34" s="21" t="s">
        <v>494</v>
      </c>
      <c r="B34" s="21" t="s">
        <v>297</v>
      </c>
      <c r="C34" s="22">
        <v>1200</v>
      </c>
      <c r="F34" s="16"/>
    </row>
    <row r="35" spans="1:10" x14ac:dyDescent="0.25">
      <c r="A35" s="21" t="s">
        <v>495</v>
      </c>
      <c r="B35" s="21" t="s">
        <v>108</v>
      </c>
      <c r="C35" s="22">
        <v>1200</v>
      </c>
      <c r="F35" s="16"/>
    </row>
    <row r="36" spans="1:10" x14ac:dyDescent="0.25">
      <c r="A36" s="21" t="s">
        <v>495</v>
      </c>
      <c r="B36" s="21" t="s">
        <v>297</v>
      </c>
      <c r="C36" s="22">
        <v>1200</v>
      </c>
      <c r="F36" s="16"/>
    </row>
    <row r="37" spans="1:10" x14ac:dyDescent="0.25">
      <c r="A37" s="21" t="s">
        <v>496</v>
      </c>
      <c r="B37" s="21" t="s">
        <v>500</v>
      </c>
      <c r="C37" s="22">
        <v>2400</v>
      </c>
      <c r="F37" s="16"/>
    </row>
    <row r="38" spans="1:10" x14ac:dyDescent="0.25">
      <c r="A38" s="21" t="s">
        <v>496</v>
      </c>
      <c r="B38" s="21" t="s">
        <v>501</v>
      </c>
      <c r="C38" s="22">
        <v>2000</v>
      </c>
      <c r="F38" s="16"/>
    </row>
    <row r="39" spans="1:10" x14ac:dyDescent="0.25">
      <c r="A39" s="21" t="s">
        <v>496</v>
      </c>
      <c r="B39" s="21" t="s">
        <v>297</v>
      </c>
      <c r="C39" s="22">
        <v>1200</v>
      </c>
      <c r="F39" s="16"/>
    </row>
    <row r="40" spans="1:10" x14ac:dyDescent="0.25">
      <c r="A40" s="21" t="s">
        <v>496</v>
      </c>
      <c r="B40" s="21" t="s">
        <v>108</v>
      </c>
      <c r="C40" s="22">
        <v>1200</v>
      </c>
      <c r="F40" s="16"/>
    </row>
    <row r="41" spans="1:10" s="10" customFormat="1" x14ac:dyDescent="0.25">
      <c r="A41" s="19" t="s">
        <v>497</v>
      </c>
      <c r="B41" s="19" t="s">
        <v>206</v>
      </c>
      <c r="C41" s="20">
        <v>6000</v>
      </c>
      <c r="D41" s="9"/>
      <c r="F41" s="9"/>
      <c r="H41" s="9"/>
      <c r="J41" s="9"/>
    </row>
    <row r="42" spans="1:10" s="10" customFormat="1" x14ac:dyDescent="0.25">
      <c r="A42" s="21" t="s">
        <v>498</v>
      </c>
      <c r="B42" s="21" t="s">
        <v>108</v>
      </c>
      <c r="C42" s="22">
        <v>1200</v>
      </c>
      <c r="D42" s="9"/>
      <c r="F42" s="16"/>
      <c r="H42" s="9"/>
      <c r="J42" s="9"/>
    </row>
    <row r="43" spans="1:10" s="10" customFormat="1" x14ac:dyDescent="0.25">
      <c r="A43" s="21" t="s">
        <v>498</v>
      </c>
      <c r="B43" s="21" t="s">
        <v>297</v>
      </c>
      <c r="C43" s="22">
        <v>1200</v>
      </c>
      <c r="D43" s="9"/>
      <c r="F43" s="16"/>
      <c r="H43" s="9"/>
      <c r="J43" s="9"/>
    </row>
    <row r="44" spans="1:10" s="10" customFormat="1" x14ac:dyDescent="0.25">
      <c r="A44" s="19" t="s">
        <v>499</v>
      </c>
      <c r="B44" s="19" t="s">
        <v>398</v>
      </c>
      <c r="C44" s="20">
        <f>3500-1600</f>
        <v>1900</v>
      </c>
      <c r="D44" s="9"/>
      <c r="F44" s="9"/>
      <c r="H44" s="9"/>
      <c r="J44" s="9"/>
    </row>
    <row r="45" spans="1:10" s="10" customFormat="1" x14ac:dyDescent="0.25">
      <c r="A45" s="21" t="s">
        <v>499</v>
      </c>
      <c r="B45" s="21" t="s">
        <v>87</v>
      </c>
      <c r="C45" s="22">
        <v>2000</v>
      </c>
      <c r="D45" s="9"/>
      <c r="F45" s="9"/>
      <c r="H45" s="9"/>
      <c r="J45" s="9"/>
    </row>
    <row r="46" spans="1:10" s="10" customFormat="1" x14ac:dyDescent="0.25">
      <c r="A46" s="9"/>
      <c r="B46" s="9"/>
      <c r="D46" s="9"/>
      <c r="F46" s="9"/>
      <c r="H46" s="9"/>
      <c r="J46" s="9"/>
    </row>
    <row r="47" spans="1:10" s="10" customFormat="1" x14ac:dyDescent="0.25">
      <c r="A47" s="9"/>
      <c r="B47" s="9"/>
      <c r="D47" s="9"/>
      <c r="F47" s="9"/>
      <c r="H47" s="9"/>
      <c r="J47" s="9"/>
    </row>
    <row r="48" spans="1:10" s="10" customFormat="1" x14ac:dyDescent="0.25">
      <c r="A48" s="9"/>
      <c r="B48" s="9"/>
      <c r="D48" s="9"/>
      <c r="F48" s="9"/>
      <c r="H48" s="9"/>
      <c r="J48" s="9"/>
    </row>
    <row r="49" spans="1:10" s="10" customFormat="1" x14ac:dyDescent="0.25">
      <c r="A49" s="9"/>
      <c r="B49" s="9"/>
      <c r="D49" s="9"/>
      <c r="F49" s="9"/>
      <c r="H49" s="9"/>
      <c r="J49" s="9"/>
    </row>
    <row r="50" spans="1:10" s="10" customFormat="1" x14ac:dyDescent="0.25">
      <c r="A50" s="9"/>
      <c r="B50" s="9"/>
      <c r="D50" s="9"/>
      <c r="F50" s="9"/>
    </row>
    <row r="51" spans="1:10" s="10" customFormat="1" x14ac:dyDescent="0.25">
      <c r="A51" s="9"/>
      <c r="B51" s="9"/>
      <c r="D51" s="9"/>
      <c r="F51" s="9"/>
    </row>
    <row r="52" spans="1:10" s="10" customFormat="1" x14ac:dyDescent="0.25">
      <c r="A52" s="9"/>
      <c r="B52" s="9"/>
      <c r="D52" s="9"/>
      <c r="F52" s="9"/>
    </row>
    <row r="53" spans="1:10" s="10" customFormat="1" x14ac:dyDescent="0.25">
      <c r="A53" s="9"/>
      <c r="B53" s="9"/>
      <c r="D53" s="9"/>
      <c r="F53" s="9"/>
    </row>
    <row r="54" spans="1:10" s="10" customFormat="1" x14ac:dyDescent="0.25">
      <c r="A54" s="9"/>
      <c r="B54" s="9"/>
      <c r="C54" s="9"/>
      <c r="D54" s="9"/>
      <c r="F54" s="9"/>
    </row>
    <row r="55" spans="1:10" s="10" customFormat="1" x14ac:dyDescent="0.25"/>
    <row r="56" spans="1:10" s="10" customFormat="1" x14ac:dyDescent="0.25"/>
    <row r="57" spans="1:10" s="10" customFormat="1" x14ac:dyDescent="0.25"/>
    <row r="58" spans="1:10" s="10" customFormat="1" x14ac:dyDescent="0.25"/>
    <row r="59" spans="1:10" s="10" customFormat="1" x14ac:dyDescent="0.25"/>
    <row r="60" spans="1:10" s="10" customFormat="1" x14ac:dyDescent="0.25"/>
    <row r="61" spans="1:10" s="10" customFormat="1" x14ac:dyDescent="0.25"/>
    <row r="62" spans="1:10" s="10" customFormat="1" x14ac:dyDescent="0.25">
      <c r="H62" s="9"/>
      <c r="J62" s="9"/>
    </row>
    <row r="63" spans="1:10" s="10" customFormat="1" x14ac:dyDescent="0.25">
      <c r="H63" s="9"/>
      <c r="J63" s="9"/>
    </row>
    <row r="64" spans="1:10" s="10" customFormat="1" x14ac:dyDescent="0.25">
      <c r="H64" s="9"/>
      <c r="J64" s="9"/>
    </row>
    <row r="65" spans="1:11" s="10" customFormat="1" x14ac:dyDescent="0.25">
      <c r="H65" s="9"/>
      <c r="J65" s="9"/>
    </row>
    <row r="66" spans="1:11" s="10" customFormat="1" x14ac:dyDescent="0.25">
      <c r="H66" s="9"/>
      <c r="J66" s="9"/>
    </row>
    <row r="67" spans="1:11" s="10" customFormat="1" x14ac:dyDescent="0.25">
      <c r="H67" s="9"/>
      <c r="J67" s="9"/>
    </row>
    <row r="68" spans="1:11" s="10" customFormat="1" x14ac:dyDescent="0.25">
      <c r="H68" s="9"/>
      <c r="J68" s="9"/>
    </row>
    <row r="69" spans="1:11" s="10" customFormat="1" x14ac:dyDescent="0.25">
      <c r="H69" s="9"/>
      <c r="J69" s="9"/>
    </row>
    <row r="70" spans="1:11" s="10" customFormat="1" x14ac:dyDescent="0.25">
      <c r="H70" s="9"/>
      <c r="J70" s="9"/>
    </row>
    <row r="71" spans="1:11" s="10" customFormat="1" x14ac:dyDescent="0.25">
      <c r="H71" s="9"/>
      <c r="J71" s="9"/>
    </row>
    <row r="72" spans="1:11" s="10" customFormat="1" x14ac:dyDescent="0.25">
      <c r="H72" s="9"/>
      <c r="J72" s="9"/>
    </row>
    <row r="73" spans="1:11" s="10" customFormat="1" x14ac:dyDescent="0.25">
      <c r="H73" s="9"/>
      <c r="J73" s="9"/>
    </row>
    <row r="74" spans="1:11" s="10" customFormat="1" x14ac:dyDescent="0.25">
      <c r="H74" s="9"/>
      <c r="J74" s="9"/>
    </row>
    <row r="75" spans="1:11" s="10" customFormat="1" x14ac:dyDescent="0.25">
      <c r="H75" s="9"/>
      <c r="J75" s="9"/>
    </row>
    <row r="76" spans="1:11" s="11" customFormat="1" x14ac:dyDescent="0.25">
      <c r="C76" s="12"/>
      <c r="E76" s="12"/>
      <c r="G76" s="12"/>
      <c r="I76" s="12"/>
      <c r="K76" s="12"/>
    </row>
    <row r="77" spans="1:11" x14ac:dyDescent="0.25">
      <c r="C77" s="10"/>
    </row>
    <row r="78" spans="1:11" x14ac:dyDescent="0.25">
      <c r="A78" s="13"/>
      <c r="C78" s="10"/>
    </row>
    <row r="79" spans="1:11" x14ac:dyDescent="0.25">
      <c r="C79" s="10"/>
    </row>
    <row r="80" spans="1:11" x14ac:dyDescent="0.25"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84" spans="3:3" x14ac:dyDescent="0.25">
      <c r="C84" s="10"/>
    </row>
    <row r="85" spans="3:3" x14ac:dyDescent="0.25">
      <c r="C85" s="10"/>
    </row>
    <row r="86" spans="3:3" x14ac:dyDescent="0.25">
      <c r="C86" s="10"/>
    </row>
    <row r="87" spans="3:3" x14ac:dyDescent="0.25">
      <c r="C87" s="10"/>
    </row>
    <row r="88" spans="3:3" x14ac:dyDescent="0.25">
      <c r="C88" s="10"/>
    </row>
    <row r="89" spans="3:3" x14ac:dyDescent="0.25">
      <c r="C89" s="10"/>
    </row>
    <row r="90" spans="3:3" x14ac:dyDescent="0.25">
      <c r="C90" s="10"/>
    </row>
    <row r="91" spans="3:3" x14ac:dyDescent="0.25">
      <c r="C91" s="10"/>
    </row>
    <row r="92" spans="3:3" x14ac:dyDescent="0.25">
      <c r="C92" s="10"/>
    </row>
    <row r="93" spans="3:3" x14ac:dyDescent="0.25">
      <c r="C93" s="10"/>
    </row>
    <row r="94" spans="3:3" x14ac:dyDescent="0.25">
      <c r="C94" s="10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03"/>
  <sheetViews>
    <sheetView topLeftCell="B1" workbookViewId="0">
      <pane ySplit="3" topLeftCell="A25" activePane="bottomLeft" state="frozen"/>
      <selection activeCell="K26" activeCellId="1" sqref="K29:K30 K26"/>
      <selection pane="bottomLeft" activeCell="A35" sqref="A35:L35"/>
    </sheetView>
  </sheetViews>
  <sheetFormatPr baseColWidth="10" defaultColWidth="10.7109375" defaultRowHeight="15" x14ac:dyDescent="0.25"/>
  <cols>
    <col min="1" max="1" width="22.7109375" style="9" customWidth="1"/>
    <col min="2" max="2" width="62.28515625" style="9" customWidth="1"/>
    <col min="3" max="3" width="22.42578125" style="9" customWidth="1"/>
    <col min="4" max="4" width="37.5703125" style="9" customWidth="1"/>
    <col min="5" max="5" width="10.7109375" style="10"/>
    <col min="6" max="6" width="10.7109375" style="9" hidden="1" customWidth="1"/>
    <col min="7" max="7" width="32.28515625" style="10" customWidth="1"/>
    <col min="8" max="8" width="21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2" s="11" customFormat="1" x14ac:dyDescent="0.25">
      <c r="A1" s="11" t="s">
        <v>0</v>
      </c>
      <c r="E1" s="12"/>
      <c r="G1" s="12"/>
      <c r="I1" s="12"/>
    </row>
    <row r="3" spans="1:12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12" t="s">
        <v>13</v>
      </c>
    </row>
    <row r="4" spans="1:12" x14ac:dyDescent="0.25">
      <c r="A4" s="5" t="s">
        <v>512</v>
      </c>
      <c r="B4" s="5" t="s">
        <v>513</v>
      </c>
      <c r="C4" s="5" t="s">
        <v>27</v>
      </c>
      <c r="D4" s="5" t="s">
        <v>33</v>
      </c>
      <c r="E4" s="4">
        <v>1300</v>
      </c>
      <c r="F4" s="5"/>
      <c r="G4" s="4" t="s">
        <v>403</v>
      </c>
      <c r="H4" s="4" t="s">
        <v>37</v>
      </c>
      <c r="I4" s="4">
        <v>350</v>
      </c>
      <c r="J4" s="4" t="s">
        <v>37</v>
      </c>
      <c r="K4" s="4">
        <f t="shared" ref="K4:K6" si="0">E4-I4</f>
        <v>950</v>
      </c>
      <c r="L4" s="5"/>
    </row>
    <row r="5" spans="1:12" x14ac:dyDescent="0.25">
      <c r="A5" s="5" t="s">
        <v>518</v>
      </c>
      <c r="B5" s="5" t="s">
        <v>519</v>
      </c>
      <c r="C5" s="5" t="s">
        <v>524</v>
      </c>
      <c r="D5" s="5" t="s">
        <v>33</v>
      </c>
      <c r="E5" s="4">
        <v>1700</v>
      </c>
      <c r="F5" s="5"/>
      <c r="G5" s="4" t="s">
        <v>131</v>
      </c>
      <c r="H5" s="4" t="s">
        <v>491</v>
      </c>
      <c r="I5" s="4">
        <v>400</v>
      </c>
      <c r="J5" s="4" t="s">
        <v>426</v>
      </c>
      <c r="K5" s="4">
        <f t="shared" si="0"/>
        <v>1300</v>
      </c>
      <c r="L5" s="5"/>
    </row>
    <row r="6" spans="1:12" x14ac:dyDescent="0.25">
      <c r="A6" s="5" t="s">
        <v>518</v>
      </c>
      <c r="B6" s="5" t="s">
        <v>520</v>
      </c>
      <c r="C6" s="5" t="s">
        <v>27</v>
      </c>
      <c r="D6" s="5" t="s">
        <v>33</v>
      </c>
      <c r="E6" s="4">
        <v>1200</v>
      </c>
      <c r="F6" s="5"/>
      <c r="G6" s="4" t="s">
        <v>37</v>
      </c>
      <c r="H6" s="4" t="s">
        <v>37</v>
      </c>
      <c r="I6" s="4">
        <v>0</v>
      </c>
      <c r="J6" s="4" t="s">
        <v>37</v>
      </c>
      <c r="K6" s="4">
        <f t="shared" si="0"/>
        <v>1200</v>
      </c>
      <c r="L6" s="5"/>
    </row>
    <row r="7" spans="1:12" x14ac:dyDescent="0.25">
      <c r="A7" s="5" t="s">
        <v>518</v>
      </c>
      <c r="B7" s="5" t="s">
        <v>521</v>
      </c>
      <c r="C7" s="5" t="s">
        <v>27</v>
      </c>
      <c r="D7" s="5" t="s">
        <v>33</v>
      </c>
      <c r="E7" s="4">
        <f>650+150</f>
        <v>800</v>
      </c>
      <c r="F7" s="5"/>
      <c r="G7" s="4" t="s">
        <v>37</v>
      </c>
      <c r="H7" s="4" t="s">
        <v>37</v>
      </c>
      <c r="I7" s="4">
        <v>0</v>
      </c>
      <c r="J7" s="4" t="s">
        <v>37</v>
      </c>
      <c r="K7" s="4">
        <f t="shared" ref="K7" si="1">E7-I7</f>
        <v>800</v>
      </c>
      <c r="L7" s="5"/>
    </row>
    <row r="8" spans="1:12" x14ac:dyDescent="0.25">
      <c r="A8" s="5" t="s">
        <v>515</v>
      </c>
      <c r="B8" s="5" t="s">
        <v>529</v>
      </c>
      <c r="C8" s="5" t="s">
        <v>27</v>
      </c>
      <c r="D8" s="5" t="s">
        <v>33</v>
      </c>
      <c r="E8" s="4">
        <v>550</v>
      </c>
      <c r="F8" s="5"/>
      <c r="G8" s="4" t="s">
        <v>37</v>
      </c>
      <c r="H8" s="4" t="s">
        <v>37</v>
      </c>
      <c r="I8" s="4">
        <v>0</v>
      </c>
      <c r="J8" s="4" t="s">
        <v>37</v>
      </c>
      <c r="K8" s="4">
        <f t="shared" ref="K8" si="2">E8-I8</f>
        <v>550</v>
      </c>
      <c r="L8" s="5"/>
    </row>
    <row r="9" spans="1:12" x14ac:dyDescent="0.25">
      <c r="A9" s="5" t="s">
        <v>515</v>
      </c>
      <c r="B9" s="5" t="s">
        <v>522</v>
      </c>
      <c r="C9" s="5" t="s">
        <v>27</v>
      </c>
      <c r="D9" s="5" t="s">
        <v>33</v>
      </c>
      <c r="E9" s="4">
        <v>650</v>
      </c>
      <c r="F9" s="5"/>
      <c r="G9" s="4" t="s">
        <v>37</v>
      </c>
      <c r="H9" s="4" t="s">
        <v>37</v>
      </c>
      <c r="I9" s="4">
        <v>0</v>
      </c>
      <c r="J9" s="4" t="s">
        <v>37</v>
      </c>
      <c r="K9" s="4">
        <f t="shared" ref="K9" si="3">E9-I9</f>
        <v>650</v>
      </c>
      <c r="L9" s="5"/>
    </row>
    <row r="10" spans="1:12" x14ac:dyDescent="0.25">
      <c r="A10" s="5" t="s">
        <v>515</v>
      </c>
      <c r="B10" s="5" t="s">
        <v>523</v>
      </c>
      <c r="C10" s="5" t="s">
        <v>27</v>
      </c>
      <c r="D10" s="5" t="s">
        <v>33</v>
      </c>
      <c r="E10" s="4">
        <v>1300</v>
      </c>
      <c r="F10" s="5"/>
      <c r="G10" s="4" t="s">
        <v>37</v>
      </c>
      <c r="H10" s="4" t="s">
        <v>37</v>
      </c>
      <c r="I10" s="4">
        <v>0</v>
      </c>
      <c r="J10" s="4" t="s">
        <v>37</v>
      </c>
      <c r="K10" s="4">
        <f t="shared" ref="K10:K12" si="4">E10-I10</f>
        <v>1300</v>
      </c>
      <c r="L10" s="5"/>
    </row>
    <row r="11" spans="1:12" x14ac:dyDescent="0.25">
      <c r="A11" s="5" t="s">
        <v>525</v>
      </c>
      <c r="B11" s="5" t="s">
        <v>78</v>
      </c>
      <c r="C11" s="5" t="s">
        <v>27</v>
      </c>
      <c r="D11" s="5" t="s">
        <v>33</v>
      </c>
      <c r="E11" s="4">
        <v>350</v>
      </c>
      <c r="F11" s="5"/>
      <c r="G11" s="4" t="s">
        <v>37</v>
      </c>
      <c r="H11" s="4" t="s">
        <v>37</v>
      </c>
      <c r="I11" s="4">
        <v>0</v>
      </c>
      <c r="J11" s="4" t="s">
        <v>37</v>
      </c>
      <c r="K11" s="4">
        <f t="shared" si="4"/>
        <v>350</v>
      </c>
      <c r="L11" s="5"/>
    </row>
    <row r="12" spans="1:12" x14ac:dyDescent="0.25">
      <c r="A12" s="5" t="s">
        <v>526</v>
      </c>
      <c r="B12" s="5" t="s">
        <v>226</v>
      </c>
      <c r="C12" s="5" t="s">
        <v>27</v>
      </c>
      <c r="D12" s="5" t="s">
        <v>527</v>
      </c>
      <c r="E12" s="4">
        <v>350</v>
      </c>
      <c r="F12" s="18"/>
      <c r="G12" s="4" t="s">
        <v>37</v>
      </c>
      <c r="H12" s="4" t="s">
        <v>37</v>
      </c>
      <c r="I12" s="4">
        <v>0</v>
      </c>
      <c r="J12" s="4" t="s">
        <v>37</v>
      </c>
      <c r="K12" s="4">
        <f t="shared" si="4"/>
        <v>350</v>
      </c>
      <c r="L12" s="5"/>
    </row>
    <row r="13" spans="1:12" x14ac:dyDescent="0.25">
      <c r="A13" s="5" t="s">
        <v>526</v>
      </c>
      <c r="B13" s="5" t="s">
        <v>528</v>
      </c>
      <c r="C13" s="5" t="s">
        <v>27</v>
      </c>
      <c r="D13" s="5" t="s">
        <v>33</v>
      </c>
      <c r="E13" s="4">
        <v>350</v>
      </c>
      <c r="F13" s="18"/>
      <c r="G13" s="4" t="s">
        <v>37</v>
      </c>
      <c r="H13" s="4" t="s">
        <v>37</v>
      </c>
      <c r="I13" s="4">
        <v>0</v>
      </c>
      <c r="J13" s="4" t="s">
        <v>37</v>
      </c>
      <c r="K13" s="4">
        <f t="shared" ref="K13" si="5">E13-I13</f>
        <v>350</v>
      </c>
      <c r="L13" s="5"/>
    </row>
    <row r="14" spans="1:12" x14ac:dyDescent="0.25">
      <c r="A14" s="5" t="s">
        <v>526</v>
      </c>
      <c r="B14" s="5" t="s">
        <v>530</v>
      </c>
      <c r="C14" s="5" t="s">
        <v>27</v>
      </c>
      <c r="D14" s="5" t="s">
        <v>33</v>
      </c>
      <c r="E14" s="4">
        <v>150</v>
      </c>
      <c r="F14" s="18"/>
      <c r="G14" s="4" t="s">
        <v>37</v>
      </c>
      <c r="H14" s="4" t="s">
        <v>37</v>
      </c>
      <c r="I14" s="4">
        <v>0</v>
      </c>
      <c r="J14" s="4" t="s">
        <v>37</v>
      </c>
      <c r="K14" s="4">
        <f t="shared" ref="K14:K15" si="6">E14-I14</f>
        <v>150</v>
      </c>
      <c r="L14" s="5"/>
    </row>
    <row r="15" spans="1:12" x14ac:dyDescent="0.25">
      <c r="A15" s="5" t="s">
        <v>526</v>
      </c>
      <c r="B15" s="5" t="s">
        <v>531</v>
      </c>
      <c r="C15" s="5" t="s">
        <v>27</v>
      </c>
      <c r="D15" s="5" t="s">
        <v>33</v>
      </c>
      <c r="E15" s="4">
        <v>600</v>
      </c>
      <c r="F15" s="18"/>
      <c r="G15" s="4" t="s">
        <v>37</v>
      </c>
      <c r="H15" s="4" t="s">
        <v>37</v>
      </c>
      <c r="I15" s="4">
        <v>0</v>
      </c>
      <c r="J15" s="4" t="s">
        <v>37</v>
      </c>
      <c r="K15" s="4">
        <f t="shared" si="6"/>
        <v>600</v>
      </c>
      <c r="L15" s="5"/>
    </row>
    <row r="16" spans="1:12" x14ac:dyDescent="0.25">
      <c r="A16" s="5" t="s">
        <v>516</v>
      </c>
      <c r="B16" s="5" t="s">
        <v>532</v>
      </c>
      <c r="C16" s="5" t="s">
        <v>27</v>
      </c>
      <c r="D16" s="5" t="s">
        <v>533</v>
      </c>
      <c r="E16" s="4">
        <v>1276</v>
      </c>
      <c r="F16" s="18"/>
      <c r="G16" s="4" t="s">
        <v>37</v>
      </c>
      <c r="H16" s="4" t="s">
        <v>37</v>
      </c>
      <c r="I16" s="4">
        <v>0</v>
      </c>
      <c r="J16" s="4" t="s">
        <v>37</v>
      </c>
      <c r="K16" s="4">
        <f t="shared" ref="K16" si="7">E16-I16</f>
        <v>1276</v>
      </c>
      <c r="L16" s="5"/>
    </row>
    <row r="17" spans="1:12" x14ac:dyDescent="0.25">
      <c r="A17" s="5" t="s">
        <v>516</v>
      </c>
      <c r="B17" s="5" t="s">
        <v>534</v>
      </c>
      <c r="C17" s="5" t="s">
        <v>27</v>
      </c>
      <c r="D17" s="5" t="s">
        <v>387</v>
      </c>
      <c r="E17" s="4">
        <v>4650</v>
      </c>
      <c r="F17" s="18"/>
      <c r="G17" s="4" t="s">
        <v>37</v>
      </c>
      <c r="H17" s="4" t="s">
        <v>37</v>
      </c>
      <c r="I17" s="4">
        <v>0</v>
      </c>
      <c r="J17" s="4" t="s">
        <v>37</v>
      </c>
      <c r="K17" s="4">
        <f t="shared" ref="K17" si="8">E17-I17</f>
        <v>4650</v>
      </c>
      <c r="L17" s="5"/>
    </row>
    <row r="18" spans="1:12" x14ac:dyDescent="0.25">
      <c r="A18" s="5" t="s">
        <v>516</v>
      </c>
      <c r="B18" s="5" t="s">
        <v>535</v>
      </c>
      <c r="C18" s="5" t="s">
        <v>27</v>
      </c>
      <c r="D18" s="5" t="s">
        <v>536</v>
      </c>
      <c r="E18" s="4">
        <v>1200</v>
      </c>
      <c r="F18" s="18"/>
      <c r="G18" s="4" t="s">
        <v>37</v>
      </c>
      <c r="H18" s="4" t="s">
        <v>37</v>
      </c>
      <c r="I18" s="4">
        <v>0</v>
      </c>
      <c r="J18" s="4" t="s">
        <v>37</v>
      </c>
      <c r="K18" s="4">
        <f t="shared" ref="K18:K23" si="9">E18-I18</f>
        <v>1200</v>
      </c>
      <c r="L18" s="5"/>
    </row>
    <row r="19" spans="1:12" x14ac:dyDescent="0.25">
      <c r="A19" s="5" t="s">
        <v>516</v>
      </c>
      <c r="B19" s="5" t="s">
        <v>537</v>
      </c>
      <c r="C19" s="5" t="s">
        <v>27</v>
      </c>
      <c r="D19" s="5" t="s">
        <v>33</v>
      </c>
      <c r="E19" s="4">
        <v>1650</v>
      </c>
      <c r="F19" s="18"/>
      <c r="G19" s="4" t="s">
        <v>403</v>
      </c>
      <c r="H19" s="4" t="s">
        <v>525</v>
      </c>
      <c r="I19" s="4">
        <v>600</v>
      </c>
      <c r="J19" s="4" t="s">
        <v>37</v>
      </c>
      <c r="K19" s="4">
        <f t="shared" si="9"/>
        <v>1050</v>
      </c>
      <c r="L19" s="5"/>
    </row>
    <row r="20" spans="1:12" x14ac:dyDescent="0.25">
      <c r="A20" s="5" t="s">
        <v>5</v>
      </c>
      <c r="B20" s="5" t="s">
        <v>538</v>
      </c>
      <c r="C20" s="5" t="s">
        <v>27</v>
      </c>
      <c r="D20" s="5" t="s">
        <v>33</v>
      </c>
      <c r="E20" s="4">
        <v>1950</v>
      </c>
      <c r="F20" s="18"/>
      <c r="G20" s="4" t="s">
        <v>378</v>
      </c>
      <c r="H20" s="4" t="s">
        <v>539</v>
      </c>
      <c r="I20" s="4">
        <v>350</v>
      </c>
      <c r="J20" s="4" t="s">
        <v>378</v>
      </c>
      <c r="K20" s="4">
        <f t="shared" si="9"/>
        <v>1600</v>
      </c>
      <c r="L20" s="5"/>
    </row>
    <row r="21" spans="1:12" x14ac:dyDescent="0.25">
      <c r="A21" s="5" t="s">
        <v>5</v>
      </c>
      <c r="B21" s="5" t="s">
        <v>540</v>
      </c>
      <c r="C21" s="5" t="s">
        <v>27</v>
      </c>
      <c r="D21" s="5" t="s">
        <v>33</v>
      </c>
      <c r="E21" s="4">
        <v>350</v>
      </c>
      <c r="F21" s="18"/>
      <c r="G21" s="4" t="s">
        <v>37</v>
      </c>
      <c r="H21" s="4" t="s">
        <v>37</v>
      </c>
      <c r="I21" s="4">
        <v>0</v>
      </c>
      <c r="J21" s="4" t="s">
        <v>37</v>
      </c>
      <c r="K21" s="4">
        <f t="shared" si="9"/>
        <v>350</v>
      </c>
      <c r="L21" s="5"/>
    </row>
    <row r="22" spans="1:12" x14ac:dyDescent="0.25">
      <c r="A22" s="5" t="s">
        <v>541</v>
      </c>
      <c r="B22" s="5" t="s">
        <v>473</v>
      </c>
      <c r="C22" s="5" t="s">
        <v>27</v>
      </c>
      <c r="D22" s="5" t="s">
        <v>33</v>
      </c>
      <c r="E22" s="4">
        <v>1750</v>
      </c>
      <c r="F22" s="18"/>
      <c r="G22" s="4" t="s">
        <v>542</v>
      </c>
      <c r="H22" s="4" t="s">
        <v>83</v>
      </c>
      <c r="I22" s="4">
        <v>680</v>
      </c>
      <c r="J22" s="4"/>
      <c r="K22" s="4">
        <f t="shared" si="9"/>
        <v>1070</v>
      </c>
      <c r="L22" s="5"/>
    </row>
    <row r="23" spans="1:12" x14ac:dyDescent="0.25">
      <c r="A23" s="5" t="s">
        <v>545</v>
      </c>
      <c r="B23" s="5" t="s">
        <v>543</v>
      </c>
      <c r="C23" s="5" t="s">
        <v>16</v>
      </c>
      <c r="D23" s="5" t="s">
        <v>544</v>
      </c>
      <c r="E23" s="4">
        <v>1700</v>
      </c>
      <c r="F23" s="18"/>
      <c r="G23" s="4" t="s">
        <v>178</v>
      </c>
      <c r="H23" s="4" t="s">
        <v>378</v>
      </c>
      <c r="I23" s="4">
        <v>350</v>
      </c>
      <c r="J23" s="4" t="s">
        <v>378</v>
      </c>
      <c r="K23" s="4">
        <f t="shared" si="9"/>
        <v>1350</v>
      </c>
      <c r="L23" s="5"/>
    </row>
    <row r="24" spans="1:12" x14ac:dyDescent="0.25">
      <c r="A24" s="5" t="s">
        <v>545</v>
      </c>
      <c r="B24" s="5" t="s">
        <v>546</v>
      </c>
      <c r="C24" s="5" t="s">
        <v>524</v>
      </c>
      <c r="D24" s="5" t="s">
        <v>33</v>
      </c>
      <c r="E24" s="4">
        <v>1150</v>
      </c>
      <c r="F24" s="18"/>
      <c r="G24" s="4" t="s">
        <v>547</v>
      </c>
      <c r="H24" s="4" t="s">
        <v>378</v>
      </c>
      <c r="I24" s="4">
        <v>350</v>
      </c>
      <c r="J24" s="4" t="s">
        <v>378</v>
      </c>
      <c r="K24" s="4">
        <f t="shared" ref="K24:K30" si="10">E24-I24</f>
        <v>800</v>
      </c>
      <c r="L24" s="5"/>
    </row>
    <row r="25" spans="1:12" x14ac:dyDescent="0.25">
      <c r="A25" s="5" t="s">
        <v>548</v>
      </c>
      <c r="B25" s="5" t="s">
        <v>138</v>
      </c>
      <c r="C25" s="5" t="s">
        <v>27</v>
      </c>
      <c r="D25" s="5" t="s">
        <v>33</v>
      </c>
      <c r="E25" s="4">
        <v>550</v>
      </c>
      <c r="F25" s="18"/>
      <c r="G25" s="4" t="s">
        <v>37</v>
      </c>
      <c r="H25" s="4" t="s">
        <v>37</v>
      </c>
      <c r="I25" s="4">
        <v>0</v>
      </c>
      <c r="J25" s="4" t="s">
        <v>37</v>
      </c>
      <c r="K25" s="4">
        <f t="shared" si="10"/>
        <v>550</v>
      </c>
      <c r="L25" s="5"/>
    </row>
    <row r="26" spans="1:12" x14ac:dyDescent="0.25">
      <c r="A26" s="5" t="s">
        <v>549</v>
      </c>
      <c r="B26" s="5" t="s">
        <v>550</v>
      </c>
      <c r="C26" s="5" t="s">
        <v>27</v>
      </c>
      <c r="D26" s="5" t="s">
        <v>33</v>
      </c>
      <c r="E26" s="4">
        <v>2200</v>
      </c>
      <c r="F26" s="18"/>
      <c r="G26" s="4" t="s">
        <v>551</v>
      </c>
      <c r="H26" s="4" t="s">
        <v>549</v>
      </c>
      <c r="I26" s="4">
        <v>1250</v>
      </c>
      <c r="J26" s="4" t="s">
        <v>65</v>
      </c>
      <c r="K26" s="4">
        <f t="shared" si="10"/>
        <v>950</v>
      </c>
      <c r="L26" s="5"/>
    </row>
    <row r="27" spans="1:12" x14ac:dyDescent="0.25">
      <c r="A27" s="5" t="s">
        <v>549</v>
      </c>
      <c r="B27" s="5" t="s">
        <v>552</v>
      </c>
      <c r="C27" s="5" t="s">
        <v>27</v>
      </c>
      <c r="D27" s="5" t="s">
        <v>33</v>
      </c>
      <c r="E27" s="4">
        <v>1700</v>
      </c>
      <c r="F27" s="18"/>
      <c r="G27" s="4" t="s">
        <v>553</v>
      </c>
      <c r="H27" s="4" t="s">
        <v>549</v>
      </c>
      <c r="I27" s="4">
        <v>800</v>
      </c>
      <c r="J27" s="4" t="s">
        <v>464</v>
      </c>
      <c r="K27" s="4">
        <f t="shared" si="10"/>
        <v>900</v>
      </c>
      <c r="L27" s="5"/>
    </row>
    <row r="28" spans="1:12" x14ac:dyDescent="0.25">
      <c r="A28" s="5" t="s">
        <v>554</v>
      </c>
      <c r="B28" s="5" t="s">
        <v>555</v>
      </c>
      <c r="C28" s="5" t="s">
        <v>27</v>
      </c>
      <c r="D28" s="5" t="s">
        <v>33</v>
      </c>
      <c r="E28" s="4">
        <v>750</v>
      </c>
      <c r="F28" s="18"/>
      <c r="G28" s="4" t="s">
        <v>37</v>
      </c>
      <c r="H28" s="4" t="s">
        <v>37</v>
      </c>
      <c r="I28" s="4">
        <v>0</v>
      </c>
      <c r="J28" s="4" t="s">
        <v>37</v>
      </c>
      <c r="K28" s="4">
        <f t="shared" si="10"/>
        <v>750</v>
      </c>
      <c r="L28" s="5"/>
    </row>
    <row r="29" spans="1:12" x14ac:dyDescent="0.25">
      <c r="A29" s="5" t="s">
        <v>556</v>
      </c>
      <c r="B29" s="5" t="s">
        <v>557</v>
      </c>
      <c r="C29" s="5" t="s">
        <v>27</v>
      </c>
      <c r="D29" s="5" t="s">
        <v>33</v>
      </c>
      <c r="E29" s="4">
        <v>2050</v>
      </c>
      <c r="F29" s="18"/>
      <c r="G29" s="4" t="s">
        <v>558</v>
      </c>
      <c r="H29" s="4" t="s">
        <v>491</v>
      </c>
      <c r="I29" s="4">
        <v>400</v>
      </c>
      <c r="J29" s="4" t="s">
        <v>378</v>
      </c>
      <c r="K29" s="4">
        <f t="shared" si="10"/>
        <v>1650</v>
      </c>
      <c r="L29" s="5"/>
    </row>
    <row r="30" spans="1:12" x14ac:dyDescent="0.25">
      <c r="A30" s="5" t="s">
        <v>559</v>
      </c>
      <c r="B30" s="5" t="s">
        <v>560</v>
      </c>
      <c r="C30" s="5" t="s">
        <v>27</v>
      </c>
      <c r="D30" s="5" t="s">
        <v>33</v>
      </c>
      <c r="E30" s="4">
        <v>1450</v>
      </c>
      <c r="F30" s="18"/>
      <c r="G30" s="4" t="s">
        <v>37</v>
      </c>
      <c r="H30" s="4" t="s">
        <v>37</v>
      </c>
      <c r="I30" s="4">
        <v>0</v>
      </c>
      <c r="J30" s="4" t="s">
        <v>37</v>
      </c>
      <c r="K30" s="4">
        <f t="shared" si="10"/>
        <v>1450</v>
      </c>
      <c r="L30" s="5"/>
    </row>
    <row r="31" spans="1:12" x14ac:dyDescent="0.25">
      <c r="A31" s="5" t="s">
        <v>559</v>
      </c>
      <c r="B31" s="5" t="s">
        <v>561</v>
      </c>
      <c r="C31" s="5" t="s">
        <v>27</v>
      </c>
      <c r="D31" s="5" t="s">
        <v>168</v>
      </c>
      <c r="E31" s="4">
        <v>550</v>
      </c>
      <c r="F31" s="18"/>
      <c r="G31" s="4" t="s">
        <v>37</v>
      </c>
      <c r="H31" s="4" t="s">
        <v>37</v>
      </c>
      <c r="I31" s="4">
        <v>0</v>
      </c>
      <c r="J31" s="4" t="s">
        <v>37</v>
      </c>
      <c r="K31" s="4">
        <f t="shared" ref="K31:K34" si="11">E31-I31</f>
        <v>550</v>
      </c>
      <c r="L31" s="5"/>
    </row>
    <row r="32" spans="1:12" x14ac:dyDescent="0.25">
      <c r="A32" s="5" t="s">
        <v>559</v>
      </c>
      <c r="B32" s="5" t="s">
        <v>562</v>
      </c>
      <c r="C32" s="5" t="s">
        <v>27</v>
      </c>
      <c r="D32" s="5" t="s">
        <v>563</v>
      </c>
      <c r="E32" s="4">
        <v>600</v>
      </c>
      <c r="F32" s="18"/>
      <c r="G32" s="4" t="s">
        <v>37</v>
      </c>
      <c r="H32" s="4" t="s">
        <v>37</v>
      </c>
      <c r="I32" s="4">
        <v>0</v>
      </c>
      <c r="J32" s="4" t="s">
        <v>37</v>
      </c>
      <c r="K32" s="4">
        <f t="shared" si="11"/>
        <v>600</v>
      </c>
      <c r="L32" s="5"/>
    </row>
    <row r="33" spans="1:12" x14ac:dyDescent="0.25">
      <c r="A33" s="5" t="s">
        <v>564</v>
      </c>
      <c r="B33" s="5" t="s">
        <v>565</v>
      </c>
      <c r="C33" s="5" t="s">
        <v>27</v>
      </c>
      <c r="D33" s="5" t="s">
        <v>33</v>
      </c>
      <c r="E33" s="4">
        <v>1600</v>
      </c>
      <c r="F33" s="18"/>
      <c r="G33" s="4" t="s">
        <v>566</v>
      </c>
      <c r="H33" s="4" t="s">
        <v>567</v>
      </c>
      <c r="I33" s="4">
        <f>300+350</f>
        <v>650</v>
      </c>
      <c r="J33" s="4" t="s">
        <v>65</v>
      </c>
      <c r="K33" s="4">
        <f t="shared" si="11"/>
        <v>950</v>
      </c>
      <c r="L33" s="5"/>
    </row>
    <row r="34" spans="1:12" x14ac:dyDescent="0.25">
      <c r="A34" s="5" t="s">
        <v>568</v>
      </c>
      <c r="B34" s="5" t="s">
        <v>569</v>
      </c>
      <c r="C34" s="5" t="s">
        <v>27</v>
      </c>
      <c r="D34" s="5" t="s">
        <v>33</v>
      </c>
      <c r="E34" s="4">
        <v>600</v>
      </c>
      <c r="F34" s="18"/>
      <c r="G34" s="4" t="s">
        <v>37</v>
      </c>
      <c r="H34" s="4" t="s">
        <v>37</v>
      </c>
      <c r="I34" s="4">
        <v>0</v>
      </c>
      <c r="J34" s="4" t="s">
        <v>37</v>
      </c>
      <c r="K34" s="4">
        <f t="shared" si="11"/>
        <v>600</v>
      </c>
      <c r="L34" s="5"/>
    </row>
    <row r="35" spans="1:12" x14ac:dyDescent="0.25">
      <c r="A35" s="5" t="s">
        <v>570</v>
      </c>
      <c r="B35" s="5" t="s">
        <v>571</v>
      </c>
      <c r="C35" s="5" t="s">
        <v>27</v>
      </c>
      <c r="D35" s="5" t="s">
        <v>33</v>
      </c>
      <c r="E35" s="4">
        <v>650</v>
      </c>
      <c r="F35" s="18"/>
      <c r="G35" s="4" t="s">
        <v>37</v>
      </c>
      <c r="H35" s="4" t="s">
        <v>37</v>
      </c>
      <c r="I35" s="4">
        <v>0</v>
      </c>
      <c r="J35" s="4" t="s">
        <v>37</v>
      </c>
      <c r="K35" s="4">
        <f t="shared" ref="K35:K39" si="12">E35-I35</f>
        <v>650</v>
      </c>
      <c r="L35" s="5"/>
    </row>
    <row r="36" spans="1:12" x14ac:dyDescent="0.25">
      <c r="A36" s="5" t="s">
        <v>572</v>
      </c>
      <c r="B36" s="5" t="s">
        <v>573</v>
      </c>
      <c r="C36" s="5" t="s">
        <v>27</v>
      </c>
      <c r="D36" s="5" t="s">
        <v>33</v>
      </c>
      <c r="E36" s="4">
        <v>750</v>
      </c>
      <c r="F36" s="18"/>
      <c r="G36" s="4" t="s">
        <v>37</v>
      </c>
      <c r="H36" s="4" t="s">
        <v>37</v>
      </c>
      <c r="I36" s="4">
        <v>0</v>
      </c>
      <c r="J36" s="4" t="s">
        <v>37</v>
      </c>
      <c r="K36" s="4">
        <f t="shared" si="12"/>
        <v>750</v>
      </c>
      <c r="L36" s="5"/>
    </row>
    <row r="37" spans="1:12" x14ac:dyDescent="0.25">
      <c r="A37" s="5" t="s">
        <v>575</v>
      </c>
      <c r="B37" s="5" t="s">
        <v>576</v>
      </c>
      <c r="C37" s="5" t="s">
        <v>27</v>
      </c>
      <c r="D37" s="5" t="s">
        <v>33</v>
      </c>
      <c r="E37" s="4">
        <v>1400</v>
      </c>
      <c r="F37" s="18"/>
      <c r="G37" s="4" t="s">
        <v>403</v>
      </c>
      <c r="H37" s="4" t="s">
        <v>37</v>
      </c>
      <c r="I37" s="4">
        <v>750</v>
      </c>
      <c r="J37" s="4"/>
      <c r="K37" s="4">
        <f t="shared" si="12"/>
        <v>650</v>
      </c>
      <c r="L37" s="5"/>
    </row>
    <row r="38" spans="1:12" x14ac:dyDescent="0.25">
      <c r="A38" s="5" t="s">
        <v>575</v>
      </c>
      <c r="B38" s="5" t="s">
        <v>577</v>
      </c>
      <c r="C38" s="5" t="s">
        <v>27</v>
      </c>
      <c r="D38" s="5" t="s">
        <v>33</v>
      </c>
      <c r="E38" s="4">
        <v>2300</v>
      </c>
      <c r="F38" s="18"/>
      <c r="G38" s="4" t="s">
        <v>578</v>
      </c>
      <c r="H38" s="4" t="s">
        <v>575</v>
      </c>
      <c r="I38" s="4">
        <v>300</v>
      </c>
      <c r="J38" s="4"/>
      <c r="K38" s="4">
        <f t="shared" si="12"/>
        <v>2000</v>
      </c>
      <c r="L38" s="5"/>
    </row>
    <row r="39" spans="1:12" x14ac:dyDescent="0.25">
      <c r="A39" s="5" t="s">
        <v>575</v>
      </c>
      <c r="B39" s="5" t="s">
        <v>579</v>
      </c>
      <c r="C39" s="5" t="s">
        <v>27</v>
      </c>
      <c r="D39" s="5" t="s">
        <v>527</v>
      </c>
      <c r="E39" s="4">
        <v>550</v>
      </c>
      <c r="F39" s="18"/>
      <c r="G39" s="4" t="s">
        <v>37</v>
      </c>
      <c r="H39" s="4" t="s">
        <v>37</v>
      </c>
      <c r="I39" s="4">
        <v>0</v>
      </c>
      <c r="J39" s="4" t="s">
        <v>37</v>
      </c>
      <c r="K39" s="4">
        <f t="shared" si="12"/>
        <v>550</v>
      </c>
      <c r="L39" s="5"/>
    </row>
    <row r="40" spans="1:12" x14ac:dyDescent="0.25">
      <c r="F40" s="16"/>
      <c r="H40" s="10"/>
      <c r="J40" s="10"/>
    </row>
    <row r="41" spans="1:12" x14ac:dyDescent="0.25">
      <c r="F41" s="16"/>
    </row>
    <row r="42" spans="1:12" s="11" customFormat="1" x14ac:dyDescent="0.25">
      <c r="A42" s="11" t="s">
        <v>514</v>
      </c>
      <c r="E42" s="12"/>
      <c r="F42" s="17"/>
      <c r="G42" s="12"/>
      <c r="I42" s="12"/>
      <c r="K42" s="12"/>
    </row>
    <row r="43" spans="1:12" x14ac:dyDescent="0.25">
      <c r="F43" s="16"/>
    </row>
    <row r="44" spans="1:12" x14ac:dyDescent="0.25">
      <c r="A44" s="21" t="s">
        <v>515</v>
      </c>
      <c r="B44" s="21" t="s">
        <v>108</v>
      </c>
      <c r="C44" s="22">
        <v>1400</v>
      </c>
      <c r="H44" s="10"/>
      <c r="J44" s="10"/>
    </row>
    <row r="45" spans="1:12" x14ac:dyDescent="0.25">
      <c r="A45" s="21" t="s">
        <v>515</v>
      </c>
      <c r="B45" s="21" t="s">
        <v>297</v>
      </c>
      <c r="C45" s="22">
        <v>1400</v>
      </c>
      <c r="F45" s="16"/>
    </row>
    <row r="46" spans="1:12" x14ac:dyDescent="0.25">
      <c r="A46" s="21" t="s">
        <v>516</v>
      </c>
      <c r="B46" s="21" t="s">
        <v>108</v>
      </c>
      <c r="C46" s="22">
        <v>1400</v>
      </c>
      <c r="F46" s="16"/>
    </row>
    <row r="47" spans="1:12" x14ac:dyDescent="0.25">
      <c r="A47" s="21" t="s">
        <v>516</v>
      </c>
      <c r="B47" s="21" t="s">
        <v>297</v>
      </c>
      <c r="C47" s="22">
        <v>1400</v>
      </c>
      <c r="F47" s="16"/>
    </row>
    <row r="48" spans="1:12" s="10" customFormat="1" x14ac:dyDescent="0.25">
      <c r="A48" s="21" t="s">
        <v>38</v>
      </c>
      <c r="B48" s="21" t="s">
        <v>297</v>
      </c>
      <c r="C48" s="22">
        <v>1400</v>
      </c>
      <c r="D48" s="9"/>
      <c r="F48" s="16"/>
      <c r="H48" s="9"/>
      <c r="J48" s="9"/>
    </row>
    <row r="49" spans="1:10" s="10" customFormat="1" x14ac:dyDescent="0.25">
      <c r="A49" s="21" t="s">
        <v>38</v>
      </c>
      <c r="B49" s="21" t="s">
        <v>108</v>
      </c>
      <c r="C49" s="22">
        <v>1400</v>
      </c>
      <c r="D49" s="9"/>
      <c r="F49" s="16"/>
      <c r="H49" s="9"/>
      <c r="J49" s="9"/>
    </row>
    <row r="50" spans="1:10" s="10" customFormat="1" x14ac:dyDescent="0.25">
      <c r="A50" s="21" t="s">
        <v>73</v>
      </c>
      <c r="B50" s="21" t="s">
        <v>206</v>
      </c>
      <c r="C50" s="22">
        <v>6000</v>
      </c>
      <c r="D50" s="9"/>
      <c r="F50" s="9"/>
      <c r="H50" s="9"/>
      <c r="J50" s="9"/>
    </row>
    <row r="51" spans="1:10" s="10" customFormat="1" x14ac:dyDescent="0.25">
      <c r="A51" s="21" t="s">
        <v>80</v>
      </c>
      <c r="B51" s="21" t="s">
        <v>108</v>
      </c>
      <c r="C51" s="22">
        <v>1400</v>
      </c>
      <c r="D51" s="9"/>
      <c r="F51" s="16"/>
      <c r="H51" s="9"/>
      <c r="J51" s="9"/>
    </row>
    <row r="52" spans="1:10" s="10" customFormat="1" x14ac:dyDescent="0.25">
      <c r="A52" s="21" t="s">
        <v>80</v>
      </c>
      <c r="B52" s="21" t="s">
        <v>297</v>
      </c>
      <c r="C52" s="22">
        <v>1400</v>
      </c>
      <c r="D52" s="9"/>
      <c r="F52" s="16"/>
      <c r="H52" s="9"/>
      <c r="J52" s="9"/>
    </row>
    <row r="53" spans="1:10" s="10" customFormat="1" x14ac:dyDescent="0.25">
      <c r="A53" s="21" t="s">
        <v>517</v>
      </c>
      <c r="B53" s="21" t="s">
        <v>398</v>
      </c>
      <c r="C53" s="22">
        <f>2500-800-1600</f>
        <v>100</v>
      </c>
      <c r="D53" s="9"/>
      <c r="F53" s="9"/>
      <c r="H53" s="9"/>
      <c r="J53" s="9"/>
    </row>
    <row r="54" spans="1:10" s="10" customFormat="1" x14ac:dyDescent="0.25">
      <c r="A54" s="19" t="s">
        <v>89</v>
      </c>
      <c r="B54" s="19" t="s">
        <v>574</v>
      </c>
      <c r="C54" s="20">
        <v>500</v>
      </c>
      <c r="D54" s="9"/>
      <c r="F54" s="9"/>
      <c r="H54" s="9"/>
      <c r="J54" s="9"/>
    </row>
    <row r="55" spans="1:10" s="10" customFormat="1" x14ac:dyDescent="0.25">
      <c r="A55" s="9"/>
      <c r="B55" s="9"/>
      <c r="D55" s="9"/>
      <c r="F55" s="9"/>
      <c r="H55" s="9"/>
      <c r="J55" s="9"/>
    </row>
    <row r="56" spans="1:10" s="10" customFormat="1" x14ac:dyDescent="0.25">
      <c r="A56" s="9"/>
      <c r="B56" s="9"/>
      <c r="D56" s="9"/>
      <c r="F56" s="9"/>
      <c r="H56" s="9"/>
      <c r="J56" s="9"/>
    </row>
    <row r="57" spans="1:10" s="10" customFormat="1" x14ac:dyDescent="0.25">
      <c r="A57" s="9"/>
      <c r="B57" s="9"/>
      <c r="D57" s="9"/>
      <c r="F57" s="9"/>
      <c r="H57" s="9"/>
      <c r="J57" s="9"/>
    </row>
    <row r="58" spans="1:10" s="10" customFormat="1" x14ac:dyDescent="0.25">
      <c r="A58" s="9"/>
      <c r="B58" s="9"/>
      <c r="D58" s="9"/>
      <c r="F58" s="9"/>
      <c r="H58" s="9"/>
      <c r="J58" s="9"/>
    </row>
    <row r="59" spans="1:10" s="10" customFormat="1" x14ac:dyDescent="0.25">
      <c r="A59" s="9"/>
      <c r="B59" s="9"/>
      <c r="D59" s="9"/>
      <c r="F59" s="9"/>
    </row>
    <row r="60" spans="1:10" s="10" customFormat="1" x14ac:dyDescent="0.25">
      <c r="A60" s="9"/>
      <c r="B60" s="9"/>
      <c r="D60" s="9"/>
      <c r="F60" s="9"/>
    </row>
    <row r="61" spans="1:10" s="10" customFormat="1" x14ac:dyDescent="0.25">
      <c r="A61" s="9"/>
      <c r="B61" s="9"/>
      <c r="D61" s="9"/>
      <c r="F61" s="9"/>
    </row>
    <row r="62" spans="1:10" s="10" customFormat="1" x14ac:dyDescent="0.25">
      <c r="A62" s="9"/>
      <c r="B62" s="9"/>
      <c r="D62" s="9"/>
      <c r="F62" s="9"/>
    </row>
    <row r="63" spans="1:10" s="10" customFormat="1" x14ac:dyDescent="0.25">
      <c r="A63" s="9"/>
      <c r="B63" s="9"/>
      <c r="C63" s="9"/>
      <c r="D63" s="9"/>
      <c r="F63" s="9"/>
    </row>
    <row r="64" spans="1:10" s="10" customFormat="1" x14ac:dyDescent="0.25"/>
    <row r="65" spans="8:10" s="10" customFormat="1" x14ac:dyDescent="0.25"/>
    <row r="66" spans="8:10" s="10" customFormat="1" x14ac:dyDescent="0.25"/>
    <row r="67" spans="8:10" s="10" customFormat="1" x14ac:dyDescent="0.25"/>
    <row r="68" spans="8:10" s="10" customFormat="1" x14ac:dyDescent="0.25"/>
    <row r="69" spans="8:10" s="10" customFormat="1" x14ac:dyDescent="0.25"/>
    <row r="70" spans="8:10" s="10" customFormat="1" x14ac:dyDescent="0.25"/>
    <row r="71" spans="8:10" s="10" customFormat="1" x14ac:dyDescent="0.25">
      <c r="H71" s="9"/>
      <c r="J71" s="9"/>
    </row>
    <row r="72" spans="8:10" s="10" customFormat="1" x14ac:dyDescent="0.25">
      <c r="H72" s="9"/>
      <c r="J72" s="9"/>
    </row>
    <row r="73" spans="8:10" s="10" customFormat="1" x14ac:dyDescent="0.25">
      <c r="H73" s="9"/>
      <c r="J73" s="9"/>
    </row>
    <row r="74" spans="8:10" s="10" customFormat="1" x14ac:dyDescent="0.25">
      <c r="H74" s="9"/>
      <c r="J74" s="9"/>
    </row>
    <row r="75" spans="8:10" s="10" customFormat="1" x14ac:dyDescent="0.25">
      <c r="H75" s="9"/>
      <c r="J75" s="9"/>
    </row>
    <row r="76" spans="8:10" s="10" customFormat="1" x14ac:dyDescent="0.25">
      <c r="H76" s="9"/>
      <c r="J76" s="9"/>
    </row>
    <row r="77" spans="8:10" s="10" customFormat="1" x14ac:dyDescent="0.25">
      <c r="H77" s="9"/>
      <c r="J77" s="9"/>
    </row>
    <row r="78" spans="8:10" s="10" customFormat="1" x14ac:dyDescent="0.25">
      <c r="H78" s="9"/>
      <c r="J78" s="9"/>
    </row>
    <row r="79" spans="8:10" s="10" customFormat="1" x14ac:dyDescent="0.25">
      <c r="H79" s="9"/>
      <c r="J79" s="9"/>
    </row>
    <row r="80" spans="8:10" s="10" customFormat="1" x14ac:dyDescent="0.25">
      <c r="H80" s="9"/>
      <c r="J80" s="9"/>
    </row>
    <row r="81" spans="1:11" s="10" customFormat="1" x14ac:dyDescent="0.25">
      <c r="H81" s="9"/>
      <c r="J81" s="9"/>
    </row>
    <row r="82" spans="1:11" s="10" customFormat="1" x14ac:dyDescent="0.25">
      <c r="H82" s="9"/>
      <c r="J82" s="9"/>
    </row>
    <row r="83" spans="1:11" s="10" customFormat="1" x14ac:dyDescent="0.25">
      <c r="H83" s="9"/>
      <c r="J83" s="9"/>
    </row>
    <row r="84" spans="1:11" s="10" customFormat="1" x14ac:dyDescent="0.25">
      <c r="H84" s="9"/>
      <c r="J84" s="9"/>
    </row>
    <row r="85" spans="1:11" s="11" customFormat="1" x14ac:dyDescent="0.25">
      <c r="C85" s="12"/>
      <c r="E85" s="12"/>
      <c r="G85" s="12"/>
      <c r="I85" s="12"/>
      <c r="K85" s="12"/>
    </row>
    <row r="86" spans="1:11" x14ac:dyDescent="0.25">
      <c r="C86" s="10"/>
    </row>
    <row r="87" spans="1:11" x14ac:dyDescent="0.25">
      <c r="A87" s="13"/>
      <c r="C87" s="10"/>
    </row>
    <row r="88" spans="1:11" x14ac:dyDescent="0.25">
      <c r="C88" s="10"/>
    </row>
    <row r="89" spans="1:11" x14ac:dyDescent="0.25">
      <c r="C89" s="10"/>
    </row>
    <row r="90" spans="1:11" x14ac:dyDescent="0.25">
      <c r="C90" s="10"/>
    </row>
    <row r="91" spans="1:11" x14ac:dyDescent="0.25">
      <c r="C91" s="10"/>
    </row>
    <row r="92" spans="1:11" x14ac:dyDescent="0.25">
      <c r="C92" s="10"/>
    </row>
    <row r="93" spans="1:11" x14ac:dyDescent="0.25">
      <c r="C93" s="10"/>
    </row>
    <row r="94" spans="1:11" x14ac:dyDescent="0.25">
      <c r="C94" s="10"/>
    </row>
    <row r="95" spans="1:11" x14ac:dyDescent="0.25">
      <c r="C95" s="10"/>
    </row>
    <row r="96" spans="1:11" x14ac:dyDescent="0.25">
      <c r="C96" s="10"/>
    </row>
    <row r="97" spans="3:3" x14ac:dyDescent="0.25">
      <c r="C97" s="10"/>
    </row>
    <row r="98" spans="3:3" x14ac:dyDescent="0.25">
      <c r="C98" s="10"/>
    </row>
    <row r="99" spans="3:3" x14ac:dyDescent="0.25">
      <c r="C99" s="10"/>
    </row>
    <row r="100" spans="3:3" x14ac:dyDescent="0.25">
      <c r="C100" s="10"/>
    </row>
    <row r="101" spans="3:3" x14ac:dyDescent="0.25">
      <c r="C101" s="10"/>
    </row>
    <row r="102" spans="3:3" x14ac:dyDescent="0.25">
      <c r="C102" s="10"/>
    </row>
    <row r="103" spans="3:3" x14ac:dyDescent="0.25">
      <c r="C103" s="1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97"/>
  <sheetViews>
    <sheetView workbookViewId="0">
      <pane ySplit="3" topLeftCell="A4" activePane="bottomLeft" state="frozen"/>
      <selection activeCell="K26" activeCellId="1" sqref="K29:K30 K26"/>
      <selection pane="bottomLeft" activeCell="A18" sqref="A18:K18"/>
    </sheetView>
  </sheetViews>
  <sheetFormatPr baseColWidth="10" defaultColWidth="10.7109375" defaultRowHeight="15" x14ac:dyDescent="0.25"/>
  <cols>
    <col min="1" max="1" width="22.7109375" style="9" customWidth="1"/>
    <col min="2" max="2" width="62.28515625" style="9" customWidth="1"/>
    <col min="3" max="3" width="22.42578125" style="9" customWidth="1"/>
    <col min="4" max="4" width="37.5703125" style="9" customWidth="1"/>
    <col min="5" max="5" width="10.7109375" style="10"/>
    <col min="6" max="6" width="10.7109375" style="9" hidden="1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1" s="11" customFormat="1" x14ac:dyDescent="0.25">
      <c r="A1" s="11" t="s">
        <v>0</v>
      </c>
      <c r="E1" s="12"/>
      <c r="G1" s="12"/>
      <c r="I1" s="12"/>
    </row>
    <row r="3" spans="1:11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12" t="s">
        <v>13</v>
      </c>
    </row>
    <row r="4" spans="1:11" x14ac:dyDescent="0.25">
      <c r="A4" s="5" t="s">
        <v>580</v>
      </c>
      <c r="B4" s="5" t="s">
        <v>582</v>
      </c>
      <c r="C4" s="5" t="s">
        <v>27</v>
      </c>
      <c r="D4" s="5" t="s">
        <v>33</v>
      </c>
      <c r="E4" s="4">
        <v>1700</v>
      </c>
      <c r="F4" s="5"/>
      <c r="G4" s="4" t="s">
        <v>581</v>
      </c>
      <c r="H4" s="4" t="s">
        <v>378</v>
      </c>
      <c r="I4" s="4">
        <v>350</v>
      </c>
      <c r="J4" s="4" t="s">
        <v>37</v>
      </c>
      <c r="K4" s="4">
        <f t="shared" ref="K4:K33" si="0">E4-I4</f>
        <v>1350</v>
      </c>
    </row>
    <row r="5" spans="1:11" x14ac:dyDescent="0.25">
      <c r="A5" s="5" t="s">
        <v>580</v>
      </c>
      <c r="B5" s="5" t="s">
        <v>588</v>
      </c>
      <c r="C5" s="5" t="s">
        <v>27</v>
      </c>
      <c r="D5" s="5" t="s">
        <v>33</v>
      </c>
      <c r="E5" s="4">
        <v>1700</v>
      </c>
      <c r="F5" s="5"/>
      <c r="G5" s="4" t="s">
        <v>589</v>
      </c>
      <c r="H5" s="4" t="s">
        <v>378</v>
      </c>
      <c r="I5" s="4">
        <v>580</v>
      </c>
      <c r="J5" s="4" t="s">
        <v>37</v>
      </c>
      <c r="K5" s="4">
        <f t="shared" si="0"/>
        <v>1120</v>
      </c>
    </row>
    <row r="6" spans="1:11" x14ac:dyDescent="0.25">
      <c r="A6" s="5" t="s">
        <v>590</v>
      </c>
      <c r="B6" s="5" t="s">
        <v>591</v>
      </c>
      <c r="C6" s="5" t="s">
        <v>27</v>
      </c>
      <c r="D6" s="5" t="s">
        <v>33</v>
      </c>
      <c r="E6" s="4">
        <v>850</v>
      </c>
      <c r="F6" s="5"/>
      <c r="G6" s="4" t="s">
        <v>37</v>
      </c>
      <c r="H6" s="4" t="s">
        <v>37</v>
      </c>
      <c r="I6" s="4">
        <v>0</v>
      </c>
      <c r="J6" s="4" t="s">
        <v>37</v>
      </c>
      <c r="K6" s="4">
        <f t="shared" si="0"/>
        <v>850</v>
      </c>
    </row>
    <row r="7" spans="1:11" x14ac:dyDescent="0.25">
      <c r="A7" s="5" t="s">
        <v>592</v>
      </c>
      <c r="B7" s="5" t="s">
        <v>593</v>
      </c>
      <c r="C7" s="5" t="s">
        <v>27</v>
      </c>
      <c r="D7" s="5" t="s">
        <v>33</v>
      </c>
      <c r="E7" s="4">
        <v>1400</v>
      </c>
      <c r="F7" s="5"/>
      <c r="G7" s="4" t="s">
        <v>589</v>
      </c>
      <c r="H7" s="4" t="s">
        <v>37</v>
      </c>
      <c r="I7" s="4">
        <v>300</v>
      </c>
      <c r="J7" s="4"/>
      <c r="K7" s="4">
        <f t="shared" si="0"/>
        <v>1100</v>
      </c>
    </row>
    <row r="8" spans="1:11" x14ac:dyDescent="0.25">
      <c r="A8" s="5" t="s">
        <v>595</v>
      </c>
      <c r="B8" s="5" t="s">
        <v>596</v>
      </c>
      <c r="C8" s="5" t="s">
        <v>27</v>
      </c>
      <c r="D8" s="5" t="s">
        <v>33</v>
      </c>
      <c r="E8" s="4">
        <v>2850</v>
      </c>
      <c r="F8" s="5"/>
      <c r="G8" s="4" t="s">
        <v>597</v>
      </c>
      <c r="H8" s="4" t="s">
        <v>598</v>
      </c>
      <c r="I8" s="4">
        <v>1150</v>
      </c>
      <c r="J8" s="4" t="s">
        <v>65</v>
      </c>
      <c r="K8" s="4">
        <f t="shared" si="0"/>
        <v>1700</v>
      </c>
    </row>
    <row r="9" spans="1:11" x14ac:dyDescent="0.25">
      <c r="A9" s="5" t="s">
        <v>595</v>
      </c>
      <c r="B9" s="5" t="s">
        <v>599</v>
      </c>
      <c r="C9" s="5" t="s">
        <v>27</v>
      </c>
      <c r="D9" s="5" t="s">
        <v>33</v>
      </c>
      <c r="E9" s="4">
        <v>2700</v>
      </c>
      <c r="F9" s="5"/>
      <c r="G9" s="4" t="s">
        <v>600</v>
      </c>
      <c r="H9" s="4" t="s">
        <v>598</v>
      </c>
      <c r="I9" s="4">
        <v>1150</v>
      </c>
      <c r="J9" s="4" t="s">
        <v>66</v>
      </c>
      <c r="K9" s="4">
        <f t="shared" si="0"/>
        <v>1550</v>
      </c>
    </row>
    <row r="10" spans="1:11" x14ac:dyDescent="0.25">
      <c r="A10" s="5" t="s">
        <v>586</v>
      </c>
      <c r="B10" s="5" t="s">
        <v>601</v>
      </c>
      <c r="C10" s="5" t="s">
        <v>27</v>
      </c>
      <c r="D10" s="5" t="s">
        <v>33</v>
      </c>
      <c r="E10" s="4">
        <f>1700+500</f>
        <v>2200</v>
      </c>
      <c r="F10" s="5"/>
      <c r="G10" s="4" t="s">
        <v>602</v>
      </c>
      <c r="H10" s="4" t="s">
        <v>586</v>
      </c>
      <c r="I10" s="4">
        <f>250+400</f>
        <v>650</v>
      </c>
      <c r="J10" s="4" t="s">
        <v>66</v>
      </c>
      <c r="K10" s="4">
        <f t="shared" si="0"/>
        <v>1550</v>
      </c>
    </row>
    <row r="11" spans="1:11" x14ac:dyDescent="0.25">
      <c r="A11" s="5" t="s">
        <v>603</v>
      </c>
      <c r="B11" s="5" t="s">
        <v>604</v>
      </c>
      <c r="C11" s="5" t="s">
        <v>27</v>
      </c>
      <c r="D11" s="5" t="s">
        <v>33</v>
      </c>
      <c r="E11" s="4">
        <v>500</v>
      </c>
      <c r="F11" s="5"/>
      <c r="G11" s="4" t="s">
        <v>37</v>
      </c>
      <c r="H11" s="4" t="s">
        <v>37</v>
      </c>
      <c r="I11" s="4">
        <v>0</v>
      </c>
      <c r="J11" s="4" t="s">
        <v>37</v>
      </c>
      <c r="K11" s="4">
        <f t="shared" si="0"/>
        <v>500</v>
      </c>
    </row>
    <row r="12" spans="1:11" x14ac:dyDescent="0.25">
      <c r="A12" s="5" t="s">
        <v>603</v>
      </c>
      <c r="B12" s="5" t="s">
        <v>605</v>
      </c>
      <c r="C12" s="5" t="s">
        <v>27</v>
      </c>
      <c r="D12" s="5" t="s">
        <v>606</v>
      </c>
      <c r="E12" s="4">
        <v>700</v>
      </c>
      <c r="F12" s="18"/>
      <c r="G12" s="4" t="s">
        <v>37</v>
      </c>
      <c r="H12" s="4" t="s">
        <v>37</v>
      </c>
      <c r="I12" s="4">
        <v>0</v>
      </c>
      <c r="J12" s="4" t="s">
        <v>37</v>
      </c>
      <c r="K12" s="4">
        <f t="shared" si="0"/>
        <v>700</v>
      </c>
    </row>
    <row r="13" spans="1:11" x14ac:dyDescent="0.25">
      <c r="A13" s="5" t="s">
        <v>603</v>
      </c>
      <c r="B13" s="5" t="s">
        <v>607</v>
      </c>
      <c r="C13" s="5" t="s">
        <v>27</v>
      </c>
      <c r="D13" s="5" t="s">
        <v>33</v>
      </c>
      <c r="E13" s="4">
        <v>350</v>
      </c>
      <c r="F13" s="18"/>
      <c r="G13" s="4" t="s">
        <v>37</v>
      </c>
      <c r="H13" s="4" t="s">
        <v>37</v>
      </c>
      <c r="I13" s="4">
        <v>0</v>
      </c>
      <c r="J13" s="4" t="s">
        <v>37</v>
      </c>
      <c r="K13" s="4">
        <f t="shared" si="0"/>
        <v>350</v>
      </c>
    </row>
    <row r="14" spans="1:11" x14ac:dyDescent="0.25">
      <c r="A14" s="5" t="s">
        <v>603</v>
      </c>
      <c r="B14" s="5" t="s">
        <v>608</v>
      </c>
      <c r="C14" s="5" t="s">
        <v>27</v>
      </c>
      <c r="D14" s="5" t="s">
        <v>33</v>
      </c>
      <c r="E14" s="4">
        <v>750</v>
      </c>
      <c r="F14" s="18"/>
      <c r="G14" s="4" t="s">
        <v>609</v>
      </c>
      <c r="H14" s="4" t="s">
        <v>603</v>
      </c>
      <c r="I14" s="4">
        <v>300</v>
      </c>
      <c r="J14" s="4"/>
      <c r="K14" s="4">
        <f t="shared" si="0"/>
        <v>450</v>
      </c>
    </row>
    <row r="15" spans="1:11" x14ac:dyDescent="0.25">
      <c r="A15" s="5" t="s">
        <v>603</v>
      </c>
      <c r="B15" s="5" t="s">
        <v>610</v>
      </c>
      <c r="C15" s="5" t="s">
        <v>27</v>
      </c>
      <c r="D15" s="5" t="s">
        <v>33</v>
      </c>
      <c r="E15" s="4">
        <v>550</v>
      </c>
      <c r="F15" s="18"/>
      <c r="G15" s="4" t="s">
        <v>37</v>
      </c>
      <c r="H15" s="4" t="s">
        <v>37</v>
      </c>
      <c r="I15" s="4">
        <v>0</v>
      </c>
      <c r="J15" s="4" t="s">
        <v>37</v>
      </c>
      <c r="K15" s="4">
        <f t="shared" si="0"/>
        <v>550</v>
      </c>
    </row>
    <row r="16" spans="1:11" x14ac:dyDescent="0.25">
      <c r="A16" s="5" t="s">
        <v>611</v>
      </c>
      <c r="B16" s="5" t="s">
        <v>612</v>
      </c>
      <c r="C16" s="5" t="s">
        <v>27</v>
      </c>
      <c r="D16" s="5" t="s">
        <v>383</v>
      </c>
      <c r="E16" s="4">
        <v>19660</v>
      </c>
      <c r="F16" s="18"/>
      <c r="G16" s="4" t="s">
        <v>613</v>
      </c>
      <c r="H16" s="4" t="s">
        <v>611</v>
      </c>
      <c r="I16" s="4">
        <v>6385</v>
      </c>
      <c r="J16" s="4" t="s">
        <v>66</v>
      </c>
      <c r="K16" s="4">
        <f t="shared" si="0"/>
        <v>13275</v>
      </c>
    </row>
    <row r="17" spans="1:11" x14ac:dyDescent="0.25">
      <c r="A17" s="5" t="s">
        <v>617</v>
      </c>
      <c r="B17" s="5" t="s">
        <v>618</v>
      </c>
      <c r="C17" s="5" t="s">
        <v>27</v>
      </c>
      <c r="D17" s="5" t="s">
        <v>33</v>
      </c>
      <c r="E17" s="4">
        <v>400</v>
      </c>
      <c r="F17" s="18"/>
      <c r="G17" s="4" t="s">
        <v>37</v>
      </c>
      <c r="H17" s="4" t="s">
        <v>37</v>
      </c>
      <c r="I17" s="4">
        <v>0</v>
      </c>
      <c r="J17" s="4" t="s">
        <v>37</v>
      </c>
      <c r="K17" s="4">
        <f t="shared" si="0"/>
        <v>400</v>
      </c>
    </row>
    <row r="18" spans="1:11" x14ac:dyDescent="0.25">
      <c r="A18" s="5" t="s">
        <v>619</v>
      </c>
      <c r="B18" s="5" t="s">
        <v>620</v>
      </c>
      <c r="C18" s="5" t="s">
        <v>27</v>
      </c>
      <c r="D18" s="5" t="s">
        <v>33</v>
      </c>
      <c r="E18" s="4">
        <v>1600</v>
      </c>
      <c r="F18" s="18"/>
      <c r="G18" s="4" t="s">
        <v>75</v>
      </c>
      <c r="H18" s="4" t="s">
        <v>619</v>
      </c>
      <c r="I18" s="4">
        <v>350</v>
      </c>
      <c r="J18" s="4" t="s">
        <v>66</v>
      </c>
      <c r="K18" s="4">
        <f t="shared" si="0"/>
        <v>1250</v>
      </c>
    </row>
    <row r="19" spans="1:11" x14ac:dyDescent="0.25">
      <c r="F19" s="16"/>
      <c r="H19" s="10"/>
      <c r="J19" s="10"/>
      <c r="K19" s="10">
        <f t="shared" si="0"/>
        <v>0</v>
      </c>
    </row>
    <row r="20" spans="1:11" x14ac:dyDescent="0.25">
      <c r="F20" s="16"/>
      <c r="H20" s="4" t="s">
        <v>614</v>
      </c>
      <c r="I20" s="4">
        <f>K16</f>
        <v>13275</v>
      </c>
      <c r="J20" s="4"/>
      <c r="K20" s="4">
        <f t="shared" si="0"/>
        <v>-13275</v>
      </c>
    </row>
    <row r="21" spans="1:11" x14ac:dyDescent="0.25">
      <c r="F21" s="16"/>
      <c r="H21" s="4"/>
      <c r="I21" s="4"/>
      <c r="J21" s="4"/>
      <c r="K21" s="4">
        <f t="shared" si="0"/>
        <v>0</v>
      </c>
    </row>
    <row r="22" spans="1:11" x14ac:dyDescent="0.25">
      <c r="F22" s="16"/>
      <c r="H22" s="4"/>
      <c r="I22" s="4"/>
      <c r="J22" s="4"/>
      <c r="K22" s="4">
        <f t="shared" si="0"/>
        <v>0</v>
      </c>
    </row>
    <row r="23" spans="1:11" x14ac:dyDescent="0.25">
      <c r="F23" s="16"/>
      <c r="H23" s="4"/>
      <c r="I23" s="4"/>
      <c r="J23" s="4"/>
      <c r="K23" s="4">
        <f t="shared" si="0"/>
        <v>0</v>
      </c>
    </row>
    <row r="24" spans="1:11" x14ac:dyDescent="0.25">
      <c r="F24" s="16"/>
      <c r="H24" s="4" t="s">
        <v>615</v>
      </c>
      <c r="I24" s="4">
        <f>I20/2</f>
        <v>6637.5</v>
      </c>
      <c r="J24" s="4"/>
      <c r="K24" s="4">
        <f t="shared" si="0"/>
        <v>-6637.5</v>
      </c>
    </row>
    <row r="25" spans="1:11" x14ac:dyDescent="0.25">
      <c r="F25" s="16"/>
      <c r="H25" s="4" t="s">
        <v>271</v>
      </c>
      <c r="I25" s="4">
        <f>I20-I24</f>
        <v>6637.5</v>
      </c>
      <c r="J25" s="4"/>
      <c r="K25" s="4">
        <f t="shared" si="0"/>
        <v>-6637.5</v>
      </c>
    </row>
    <row r="26" spans="1:11" x14ac:dyDescent="0.25">
      <c r="F26" s="16"/>
      <c r="H26" s="4" t="s">
        <v>616</v>
      </c>
      <c r="I26" s="4">
        <v>2637.5</v>
      </c>
      <c r="J26" s="4"/>
      <c r="K26" s="4">
        <f t="shared" si="0"/>
        <v>-2637.5</v>
      </c>
    </row>
    <row r="27" spans="1:11" x14ac:dyDescent="0.25">
      <c r="F27" s="16"/>
      <c r="H27" s="10"/>
      <c r="J27" s="10"/>
      <c r="K27" s="10">
        <f t="shared" si="0"/>
        <v>0</v>
      </c>
    </row>
    <row r="28" spans="1:11" x14ac:dyDescent="0.25">
      <c r="F28" s="16"/>
      <c r="H28" s="10"/>
      <c r="J28" s="10"/>
      <c r="K28" s="10">
        <f t="shared" si="0"/>
        <v>0</v>
      </c>
    </row>
    <row r="29" spans="1:11" x14ac:dyDescent="0.25">
      <c r="F29" s="16"/>
      <c r="H29" s="10"/>
      <c r="J29" s="10"/>
      <c r="K29" s="10">
        <f t="shared" si="0"/>
        <v>0</v>
      </c>
    </row>
    <row r="30" spans="1:11" x14ac:dyDescent="0.25">
      <c r="F30" s="16"/>
      <c r="H30" s="10"/>
      <c r="J30" s="10"/>
      <c r="K30" s="10">
        <f t="shared" si="0"/>
        <v>0</v>
      </c>
    </row>
    <row r="31" spans="1:11" x14ac:dyDescent="0.25">
      <c r="F31" s="16"/>
      <c r="H31" s="10"/>
      <c r="J31" s="10"/>
      <c r="K31" s="10">
        <f t="shared" si="0"/>
        <v>0</v>
      </c>
    </row>
    <row r="32" spans="1:11" x14ac:dyDescent="0.25">
      <c r="F32" s="16"/>
      <c r="H32" s="10"/>
      <c r="J32" s="10"/>
      <c r="K32" s="10">
        <f t="shared" si="0"/>
        <v>0</v>
      </c>
    </row>
    <row r="33" spans="1:11" x14ac:dyDescent="0.25">
      <c r="F33" s="16"/>
      <c r="H33" s="10"/>
      <c r="J33" s="10"/>
      <c r="K33" s="10">
        <f t="shared" si="0"/>
        <v>0</v>
      </c>
    </row>
    <row r="34" spans="1:11" x14ac:dyDescent="0.25">
      <c r="F34" s="16"/>
      <c r="H34" s="10"/>
      <c r="J34" s="10"/>
    </row>
    <row r="35" spans="1:11" x14ac:dyDescent="0.25">
      <c r="F35" s="16"/>
    </row>
    <row r="36" spans="1:11" s="11" customFormat="1" x14ac:dyDescent="0.25">
      <c r="A36" s="11" t="s">
        <v>514</v>
      </c>
      <c r="E36" s="12"/>
      <c r="F36" s="17"/>
      <c r="G36" s="12"/>
      <c r="I36" s="12"/>
      <c r="K36" s="12"/>
    </row>
    <row r="37" spans="1:11" x14ac:dyDescent="0.25">
      <c r="F37" s="16"/>
    </row>
    <row r="38" spans="1:11" x14ac:dyDescent="0.25">
      <c r="A38" s="21" t="s">
        <v>580</v>
      </c>
      <c r="B38" s="21" t="s">
        <v>108</v>
      </c>
      <c r="C38" s="22">
        <v>1400</v>
      </c>
      <c r="H38" s="10"/>
      <c r="J38" s="10"/>
    </row>
    <row r="39" spans="1:11" x14ac:dyDescent="0.25">
      <c r="A39" s="21" t="s">
        <v>580</v>
      </c>
      <c r="B39" s="21" t="s">
        <v>297</v>
      </c>
      <c r="C39" s="22">
        <v>1400</v>
      </c>
      <c r="F39" s="16"/>
    </row>
    <row r="40" spans="1:11" x14ac:dyDescent="0.25">
      <c r="A40" s="21" t="s">
        <v>585</v>
      </c>
      <c r="B40" s="21" t="s">
        <v>108</v>
      </c>
      <c r="C40" s="22">
        <v>1400</v>
      </c>
      <c r="F40" s="16"/>
    </row>
    <row r="41" spans="1:11" x14ac:dyDescent="0.25">
      <c r="A41" s="21" t="s">
        <v>585</v>
      </c>
      <c r="B41" s="21" t="s">
        <v>297</v>
      </c>
      <c r="C41" s="22">
        <v>1400</v>
      </c>
      <c r="F41" s="16"/>
    </row>
    <row r="42" spans="1:11" s="10" customFormat="1" x14ac:dyDescent="0.25">
      <c r="A42" s="21" t="s">
        <v>586</v>
      </c>
      <c r="B42" s="21" t="s">
        <v>297</v>
      </c>
      <c r="C42" s="22">
        <v>1400</v>
      </c>
      <c r="D42" s="9"/>
      <c r="F42" s="16"/>
      <c r="H42" s="9"/>
      <c r="J42" s="9"/>
    </row>
    <row r="43" spans="1:11" s="10" customFormat="1" x14ac:dyDescent="0.25">
      <c r="A43" s="21" t="s">
        <v>586</v>
      </c>
      <c r="B43" s="21" t="s">
        <v>108</v>
      </c>
      <c r="C43" s="22">
        <v>1400</v>
      </c>
      <c r="D43" s="9"/>
      <c r="F43" s="16"/>
      <c r="H43" s="9"/>
      <c r="J43" s="9"/>
    </row>
    <row r="44" spans="1:11" s="10" customFormat="1" x14ac:dyDescent="0.25">
      <c r="A44" s="21" t="s">
        <v>584</v>
      </c>
      <c r="B44" s="21" t="s">
        <v>206</v>
      </c>
      <c r="C44" s="22">
        <v>6000</v>
      </c>
      <c r="D44" s="9"/>
      <c r="F44" s="9"/>
      <c r="H44" s="9"/>
      <c r="J44" s="9"/>
    </row>
    <row r="45" spans="1:11" s="10" customFormat="1" x14ac:dyDescent="0.25">
      <c r="A45" s="21" t="s">
        <v>587</v>
      </c>
      <c r="B45" s="21" t="s">
        <v>108</v>
      </c>
      <c r="C45" s="22">
        <v>1400</v>
      </c>
      <c r="D45" s="9"/>
      <c r="F45" s="16"/>
      <c r="H45" s="9"/>
      <c r="J45" s="9"/>
    </row>
    <row r="46" spans="1:11" s="10" customFormat="1" x14ac:dyDescent="0.25">
      <c r="A46" s="21" t="s">
        <v>587</v>
      </c>
      <c r="B46" s="21" t="s">
        <v>297</v>
      </c>
      <c r="C46" s="22">
        <v>1400</v>
      </c>
      <c r="D46" s="9"/>
      <c r="F46" s="16"/>
      <c r="H46" s="9"/>
      <c r="J46" s="9"/>
    </row>
    <row r="47" spans="1:11" s="10" customFormat="1" x14ac:dyDescent="0.25">
      <c r="A47" s="19" t="s">
        <v>583</v>
      </c>
      <c r="B47" s="19" t="s">
        <v>398</v>
      </c>
      <c r="C47" s="20">
        <v>3000</v>
      </c>
      <c r="D47" s="9"/>
      <c r="F47" s="9"/>
      <c r="H47" s="9"/>
      <c r="J47" s="9"/>
    </row>
    <row r="48" spans="1:11" s="10" customFormat="1" x14ac:dyDescent="0.25">
      <c r="A48" s="19" t="s">
        <v>583</v>
      </c>
      <c r="B48" s="19" t="s">
        <v>574</v>
      </c>
      <c r="C48" s="20">
        <v>500</v>
      </c>
      <c r="D48" s="9"/>
      <c r="F48" s="9"/>
      <c r="H48" s="9"/>
      <c r="J48" s="9"/>
    </row>
    <row r="49" spans="1:10" s="10" customFormat="1" x14ac:dyDescent="0.25">
      <c r="A49" s="9" t="s">
        <v>594</v>
      </c>
      <c r="B49" s="9" t="s">
        <v>72</v>
      </c>
      <c r="C49" s="10">
        <v>550</v>
      </c>
      <c r="D49" s="9"/>
      <c r="F49" s="9"/>
      <c r="H49" s="9"/>
      <c r="J49" s="9"/>
    </row>
    <row r="50" spans="1:10" s="10" customFormat="1" x14ac:dyDescent="0.25">
      <c r="A50" s="9"/>
      <c r="B50" s="9"/>
      <c r="D50" s="9"/>
      <c r="F50" s="9"/>
      <c r="H50" s="9"/>
      <c r="J50" s="9"/>
    </row>
    <row r="51" spans="1:10" s="10" customFormat="1" x14ac:dyDescent="0.25">
      <c r="A51" s="9"/>
      <c r="B51" s="9"/>
      <c r="D51" s="9"/>
      <c r="F51" s="9"/>
      <c r="H51" s="9"/>
      <c r="J51" s="9"/>
    </row>
    <row r="52" spans="1:10" s="10" customFormat="1" x14ac:dyDescent="0.25">
      <c r="A52" s="9"/>
      <c r="B52" s="9"/>
      <c r="D52" s="9"/>
      <c r="F52" s="9"/>
      <c r="H52" s="9"/>
      <c r="J52" s="9"/>
    </row>
    <row r="53" spans="1:10" s="10" customFormat="1" x14ac:dyDescent="0.25">
      <c r="A53" s="9"/>
      <c r="B53" s="9"/>
      <c r="D53" s="9"/>
      <c r="F53" s="9"/>
    </row>
    <row r="54" spans="1:10" s="10" customFormat="1" x14ac:dyDescent="0.25">
      <c r="A54" s="9"/>
      <c r="B54" s="9"/>
      <c r="D54" s="9"/>
      <c r="F54" s="9"/>
    </row>
    <row r="55" spans="1:10" s="10" customFormat="1" x14ac:dyDescent="0.25">
      <c r="A55" s="9"/>
      <c r="B55" s="9"/>
      <c r="D55" s="9"/>
      <c r="F55" s="9"/>
    </row>
    <row r="56" spans="1:10" s="10" customFormat="1" x14ac:dyDescent="0.25">
      <c r="A56" s="9"/>
      <c r="B56" s="9"/>
      <c r="D56" s="9"/>
      <c r="F56" s="9"/>
    </row>
    <row r="57" spans="1:10" s="10" customFormat="1" x14ac:dyDescent="0.25">
      <c r="A57" s="9"/>
      <c r="B57" s="9"/>
      <c r="C57" s="9"/>
      <c r="D57" s="9"/>
      <c r="F57" s="9"/>
    </row>
    <row r="58" spans="1:10" s="10" customFormat="1" x14ac:dyDescent="0.25"/>
    <row r="59" spans="1:10" s="10" customFormat="1" x14ac:dyDescent="0.25"/>
    <row r="60" spans="1:10" s="10" customFormat="1" x14ac:dyDescent="0.25"/>
    <row r="61" spans="1:10" s="10" customFormat="1" x14ac:dyDescent="0.25"/>
    <row r="62" spans="1:10" s="10" customFormat="1" x14ac:dyDescent="0.25"/>
    <row r="63" spans="1:10" s="10" customFormat="1" x14ac:dyDescent="0.25"/>
    <row r="64" spans="1:10" s="10" customFormat="1" x14ac:dyDescent="0.25"/>
    <row r="65" spans="3:11" s="10" customFormat="1" x14ac:dyDescent="0.25">
      <c r="H65" s="9"/>
      <c r="J65" s="9"/>
    </row>
    <row r="66" spans="3:11" s="10" customFormat="1" x14ac:dyDescent="0.25">
      <c r="H66" s="9"/>
      <c r="J66" s="9"/>
    </row>
    <row r="67" spans="3:11" s="10" customFormat="1" x14ac:dyDescent="0.25">
      <c r="H67" s="9"/>
      <c r="J67" s="9"/>
    </row>
    <row r="68" spans="3:11" s="10" customFormat="1" x14ac:dyDescent="0.25">
      <c r="H68" s="9"/>
      <c r="J68" s="9"/>
    </row>
    <row r="69" spans="3:11" s="10" customFormat="1" x14ac:dyDescent="0.25">
      <c r="H69" s="9"/>
      <c r="J69" s="9"/>
    </row>
    <row r="70" spans="3:11" s="10" customFormat="1" x14ac:dyDescent="0.25">
      <c r="H70" s="9"/>
      <c r="J70" s="9"/>
    </row>
    <row r="71" spans="3:11" s="10" customFormat="1" x14ac:dyDescent="0.25">
      <c r="H71" s="9"/>
      <c r="J71" s="9"/>
    </row>
    <row r="72" spans="3:11" s="10" customFormat="1" x14ac:dyDescent="0.25">
      <c r="H72" s="9"/>
      <c r="J72" s="9"/>
    </row>
    <row r="73" spans="3:11" s="10" customFormat="1" x14ac:dyDescent="0.25">
      <c r="H73" s="9"/>
      <c r="J73" s="9"/>
    </row>
    <row r="74" spans="3:11" s="10" customFormat="1" x14ac:dyDescent="0.25">
      <c r="H74" s="9"/>
      <c r="J74" s="9"/>
    </row>
    <row r="75" spans="3:11" s="10" customFormat="1" x14ac:dyDescent="0.25">
      <c r="H75" s="9"/>
      <c r="J75" s="9"/>
    </row>
    <row r="76" spans="3:11" s="10" customFormat="1" x14ac:dyDescent="0.25">
      <c r="H76" s="9"/>
      <c r="J76" s="9"/>
    </row>
    <row r="77" spans="3:11" s="10" customFormat="1" x14ac:dyDescent="0.25">
      <c r="H77" s="9"/>
      <c r="J77" s="9"/>
    </row>
    <row r="78" spans="3:11" s="10" customFormat="1" x14ac:dyDescent="0.25">
      <c r="H78" s="9"/>
      <c r="J78" s="9"/>
    </row>
    <row r="79" spans="3:11" s="11" customFormat="1" x14ac:dyDescent="0.25">
      <c r="C79" s="12"/>
      <c r="E79" s="12"/>
      <c r="G79" s="12"/>
      <c r="I79" s="12"/>
      <c r="K79" s="12"/>
    </row>
    <row r="80" spans="3:11" x14ac:dyDescent="0.25">
      <c r="C80" s="10"/>
    </row>
    <row r="81" spans="1:3" x14ac:dyDescent="0.25">
      <c r="A81" s="13"/>
      <c r="C81" s="10"/>
    </row>
    <row r="82" spans="1:3" x14ac:dyDescent="0.25">
      <c r="C82" s="10"/>
    </row>
    <row r="83" spans="1:3" x14ac:dyDescent="0.25">
      <c r="C83" s="10"/>
    </row>
    <row r="84" spans="1:3" x14ac:dyDescent="0.25">
      <c r="C84" s="10"/>
    </row>
    <row r="85" spans="1:3" x14ac:dyDescent="0.25">
      <c r="C85" s="10"/>
    </row>
    <row r="86" spans="1:3" x14ac:dyDescent="0.25">
      <c r="C86" s="10"/>
    </row>
    <row r="87" spans="1:3" x14ac:dyDescent="0.25">
      <c r="C87" s="10"/>
    </row>
    <row r="88" spans="1:3" x14ac:dyDescent="0.25">
      <c r="C88" s="10"/>
    </row>
    <row r="89" spans="1:3" x14ac:dyDescent="0.25">
      <c r="C89" s="10"/>
    </row>
    <row r="90" spans="1:3" x14ac:dyDescent="0.25">
      <c r="C90" s="10"/>
    </row>
    <row r="91" spans="1:3" x14ac:dyDescent="0.25">
      <c r="C91" s="10"/>
    </row>
    <row r="92" spans="1:3" x14ac:dyDescent="0.25">
      <c r="C92" s="10"/>
    </row>
    <row r="93" spans="1:3" x14ac:dyDescent="0.25">
      <c r="C93" s="10"/>
    </row>
    <row r="94" spans="1:3" x14ac:dyDescent="0.25">
      <c r="C94" s="10"/>
    </row>
    <row r="95" spans="1:3" x14ac:dyDescent="0.25">
      <c r="C95" s="10"/>
    </row>
    <row r="96" spans="1:3" x14ac:dyDescent="0.25">
      <c r="C96" s="10"/>
    </row>
    <row r="97" spans="3:3" x14ac:dyDescent="0.25">
      <c r="C97" s="10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98"/>
  <sheetViews>
    <sheetView workbookViewId="0">
      <pane ySplit="3" topLeftCell="A4" activePane="bottomLeft" state="frozen"/>
      <selection activeCell="K26" activeCellId="1" sqref="K29:K30 K26"/>
      <selection pane="bottomLeft" activeCell="A13" sqref="A13:K13"/>
    </sheetView>
  </sheetViews>
  <sheetFormatPr baseColWidth="10" defaultColWidth="10.7109375" defaultRowHeight="15" x14ac:dyDescent="0.25"/>
  <cols>
    <col min="1" max="1" width="22.7109375" style="9" customWidth="1"/>
    <col min="2" max="2" width="62.28515625" style="9" customWidth="1"/>
    <col min="3" max="3" width="22.42578125" style="9" customWidth="1"/>
    <col min="4" max="4" width="37.5703125" style="9" customWidth="1"/>
    <col min="5" max="5" width="10.7109375" style="10"/>
    <col min="6" max="6" width="10.7109375" style="9" hidden="1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1" s="11" customFormat="1" x14ac:dyDescent="0.25">
      <c r="A1" s="11" t="s">
        <v>0</v>
      </c>
      <c r="E1" s="12"/>
      <c r="G1" s="12"/>
      <c r="I1" s="12"/>
    </row>
    <row r="3" spans="1:11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12" t="s">
        <v>13</v>
      </c>
    </row>
    <row r="4" spans="1:11" x14ac:dyDescent="0.25">
      <c r="A4" s="5" t="s">
        <v>621</v>
      </c>
      <c r="B4" s="5" t="s">
        <v>622</v>
      </c>
      <c r="C4" s="5" t="s">
        <v>27</v>
      </c>
      <c r="D4" s="5" t="s">
        <v>249</v>
      </c>
      <c r="E4" s="4">
        <v>10450</v>
      </c>
      <c r="F4" s="5"/>
      <c r="G4" s="4" t="s">
        <v>623</v>
      </c>
      <c r="H4" s="4" t="s">
        <v>621</v>
      </c>
      <c r="I4" s="4">
        <v>6003</v>
      </c>
      <c r="J4" s="4" t="s">
        <v>426</v>
      </c>
      <c r="K4" s="4">
        <f t="shared" ref="K4:K33" si="0">E4-I4</f>
        <v>4447</v>
      </c>
    </row>
    <row r="5" spans="1:11" x14ac:dyDescent="0.25">
      <c r="A5" s="5" t="s">
        <v>624</v>
      </c>
      <c r="B5" s="5" t="s">
        <v>625</v>
      </c>
      <c r="C5" s="5" t="s">
        <v>27</v>
      </c>
      <c r="D5" s="5" t="s">
        <v>33</v>
      </c>
      <c r="E5" s="4">
        <v>350</v>
      </c>
      <c r="F5" s="5"/>
      <c r="G5" s="4" t="s">
        <v>37</v>
      </c>
      <c r="H5" s="4" t="s">
        <v>37</v>
      </c>
      <c r="I5" s="4">
        <v>0</v>
      </c>
      <c r="J5" s="4" t="s">
        <v>37</v>
      </c>
      <c r="K5" s="4">
        <f t="shared" si="0"/>
        <v>350</v>
      </c>
    </row>
    <row r="6" spans="1:11" x14ac:dyDescent="0.25">
      <c r="A6" s="5" t="s">
        <v>624</v>
      </c>
      <c r="B6" s="5" t="s">
        <v>631</v>
      </c>
      <c r="C6" s="5" t="s">
        <v>27</v>
      </c>
      <c r="D6" s="5" t="s">
        <v>381</v>
      </c>
      <c r="E6" s="4">
        <v>600</v>
      </c>
      <c r="F6" s="5"/>
      <c r="G6" s="4" t="s">
        <v>37</v>
      </c>
      <c r="H6" s="4" t="s">
        <v>37</v>
      </c>
      <c r="I6" s="4">
        <v>0</v>
      </c>
      <c r="J6" s="4" t="s">
        <v>37</v>
      </c>
      <c r="K6" s="4">
        <f t="shared" ref="K6" si="1">E6-I6</f>
        <v>600</v>
      </c>
    </row>
    <row r="7" spans="1:11" x14ac:dyDescent="0.25">
      <c r="A7" s="9" t="s">
        <v>624</v>
      </c>
      <c r="B7" s="9" t="s">
        <v>632</v>
      </c>
      <c r="C7" s="9" t="s">
        <v>27</v>
      </c>
      <c r="D7" s="9" t="s">
        <v>633</v>
      </c>
      <c r="E7" s="10">
        <v>2400</v>
      </c>
      <c r="G7" s="10" t="s">
        <v>75</v>
      </c>
      <c r="H7" s="10" t="s">
        <v>624</v>
      </c>
      <c r="I7" s="10">
        <v>650</v>
      </c>
      <c r="J7" s="10" t="s">
        <v>426</v>
      </c>
      <c r="K7" s="10">
        <f t="shared" si="0"/>
        <v>1750</v>
      </c>
    </row>
    <row r="8" spans="1:11" x14ac:dyDescent="0.25">
      <c r="A8" s="5" t="s">
        <v>634</v>
      </c>
      <c r="B8" s="5" t="s">
        <v>635</v>
      </c>
      <c r="C8" s="5" t="s">
        <v>27</v>
      </c>
      <c r="D8" s="5" t="s">
        <v>33</v>
      </c>
      <c r="E8" s="4">
        <v>1800</v>
      </c>
      <c r="F8" s="5"/>
      <c r="G8" s="4" t="s">
        <v>636</v>
      </c>
      <c r="H8" s="4" t="s">
        <v>634</v>
      </c>
      <c r="I8" s="4">
        <v>1350</v>
      </c>
      <c r="J8" s="4" t="s">
        <v>426</v>
      </c>
      <c r="K8" s="4">
        <f t="shared" si="0"/>
        <v>450</v>
      </c>
    </row>
    <row r="9" spans="1:11" x14ac:dyDescent="0.25">
      <c r="A9" s="5" t="s">
        <v>634</v>
      </c>
      <c r="B9" s="5" t="s">
        <v>637</v>
      </c>
      <c r="C9" s="5" t="s">
        <v>27</v>
      </c>
      <c r="D9" s="5" t="s">
        <v>33</v>
      </c>
      <c r="E9" s="4">
        <v>650</v>
      </c>
      <c r="F9" s="5"/>
      <c r="G9" s="4" t="s">
        <v>37</v>
      </c>
      <c r="H9" s="4" t="s">
        <v>37</v>
      </c>
      <c r="I9" s="4">
        <v>0</v>
      </c>
      <c r="J9" s="4" t="s">
        <v>37</v>
      </c>
      <c r="K9" s="4">
        <f t="shared" si="0"/>
        <v>650</v>
      </c>
    </row>
    <row r="10" spans="1:11" x14ac:dyDescent="0.25">
      <c r="A10" s="5" t="s">
        <v>626</v>
      </c>
      <c r="B10" s="5" t="s">
        <v>638</v>
      </c>
      <c r="C10" s="5" t="s">
        <v>27</v>
      </c>
      <c r="D10" s="5" t="s">
        <v>527</v>
      </c>
      <c r="E10" s="4">
        <v>3300</v>
      </c>
      <c r="F10" s="5"/>
      <c r="G10" s="4" t="s">
        <v>111</v>
      </c>
      <c r="H10" s="4" t="s">
        <v>626</v>
      </c>
      <c r="I10" s="4">
        <v>1030</v>
      </c>
      <c r="J10" s="4" t="s">
        <v>426</v>
      </c>
      <c r="K10" s="4">
        <f t="shared" si="0"/>
        <v>2270</v>
      </c>
    </row>
    <row r="11" spans="1:11" x14ac:dyDescent="0.25">
      <c r="A11" s="5" t="s">
        <v>626</v>
      </c>
      <c r="B11" s="5" t="s">
        <v>639</v>
      </c>
      <c r="C11" s="5" t="s">
        <v>27</v>
      </c>
      <c r="D11" s="5" t="s">
        <v>33</v>
      </c>
      <c r="E11" s="4">
        <v>1850</v>
      </c>
      <c r="F11" s="5"/>
      <c r="G11" s="4" t="s">
        <v>640</v>
      </c>
      <c r="H11" s="4" t="s">
        <v>626</v>
      </c>
      <c r="I11" s="4">
        <v>600</v>
      </c>
      <c r="J11" s="4" t="s">
        <v>426</v>
      </c>
      <c r="K11" s="4">
        <f t="shared" si="0"/>
        <v>1250</v>
      </c>
    </row>
    <row r="12" spans="1:11" x14ac:dyDescent="0.25">
      <c r="A12" s="5" t="s">
        <v>641</v>
      </c>
      <c r="B12" s="5" t="s">
        <v>642</v>
      </c>
      <c r="C12" s="5" t="s">
        <v>27</v>
      </c>
      <c r="D12" s="5" t="s">
        <v>33</v>
      </c>
      <c r="E12" s="4">
        <v>2900</v>
      </c>
      <c r="F12" s="18"/>
      <c r="G12" s="4" t="s">
        <v>645</v>
      </c>
      <c r="H12" s="4" t="s">
        <v>643</v>
      </c>
      <c r="I12" s="4">
        <v>1755.88</v>
      </c>
      <c r="J12" s="4" t="s">
        <v>37</v>
      </c>
      <c r="K12" s="4">
        <f t="shared" si="0"/>
        <v>1144.1199999999999</v>
      </c>
    </row>
    <row r="13" spans="1:11" x14ac:dyDescent="0.25">
      <c r="A13" s="5" t="s">
        <v>643</v>
      </c>
      <c r="B13" s="5" t="s">
        <v>635</v>
      </c>
      <c r="C13" s="5" t="s">
        <v>27</v>
      </c>
      <c r="D13" s="5" t="s">
        <v>527</v>
      </c>
      <c r="E13" s="4">
        <v>2720</v>
      </c>
      <c r="F13" s="18"/>
      <c r="G13" s="4" t="s">
        <v>644</v>
      </c>
      <c r="H13" s="4" t="s">
        <v>643</v>
      </c>
      <c r="I13" s="4">
        <v>0</v>
      </c>
      <c r="J13" s="4"/>
      <c r="K13" s="4">
        <f t="shared" si="0"/>
        <v>2720</v>
      </c>
    </row>
    <row r="14" spans="1:11" x14ac:dyDescent="0.25">
      <c r="A14" s="5" t="s">
        <v>646</v>
      </c>
      <c r="B14" s="5" t="s">
        <v>436</v>
      </c>
      <c r="C14" s="5" t="s">
        <v>27</v>
      </c>
      <c r="D14" s="5" t="s">
        <v>33</v>
      </c>
      <c r="E14" s="4">
        <v>950</v>
      </c>
      <c r="F14" s="18"/>
      <c r="G14" s="4" t="s">
        <v>37</v>
      </c>
      <c r="H14" s="4" t="s">
        <v>37</v>
      </c>
      <c r="I14" s="4">
        <v>0</v>
      </c>
      <c r="J14" s="4" t="s">
        <v>37</v>
      </c>
      <c r="K14" s="4">
        <f t="shared" si="0"/>
        <v>950</v>
      </c>
    </row>
    <row r="15" spans="1:11" x14ac:dyDescent="0.25">
      <c r="A15" s="5" t="s">
        <v>646</v>
      </c>
      <c r="B15" s="5" t="s">
        <v>416</v>
      </c>
      <c r="C15" s="5" t="s">
        <v>27</v>
      </c>
      <c r="D15" s="5" t="s">
        <v>33</v>
      </c>
      <c r="E15" s="4">
        <v>550</v>
      </c>
      <c r="F15" s="18"/>
      <c r="G15" s="4" t="s">
        <v>37</v>
      </c>
      <c r="H15" s="4" t="s">
        <v>37</v>
      </c>
      <c r="I15" s="4">
        <v>0</v>
      </c>
      <c r="J15" s="4" t="s">
        <v>37</v>
      </c>
      <c r="K15" s="4">
        <f t="shared" ref="K15" si="2">E15-I15</f>
        <v>550</v>
      </c>
    </row>
    <row r="16" spans="1:11" x14ac:dyDescent="0.25">
      <c r="A16" s="5" t="s">
        <v>643</v>
      </c>
      <c r="B16" s="5" t="s">
        <v>531</v>
      </c>
      <c r="C16" s="5" t="s">
        <v>27</v>
      </c>
      <c r="D16" s="5" t="s">
        <v>231</v>
      </c>
      <c r="E16" s="4">
        <v>1650</v>
      </c>
      <c r="F16" s="18"/>
      <c r="G16" s="4" t="s">
        <v>37</v>
      </c>
      <c r="H16" s="4" t="s">
        <v>37</v>
      </c>
      <c r="I16" s="4">
        <v>0</v>
      </c>
      <c r="J16" s="4" t="s">
        <v>37</v>
      </c>
      <c r="K16" s="4">
        <f t="shared" si="0"/>
        <v>1650</v>
      </c>
    </row>
    <row r="17" spans="1:11" x14ac:dyDescent="0.25">
      <c r="A17" s="5" t="s">
        <v>627</v>
      </c>
      <c r="B17" s="5" t="s">
        <v>649</v>
      </c>
      <c r="C17" s="5" t="s">
        <v>27</v>
      </c>
      <c r="D17" s="5" t="s">
        <v>381</v>
      </c>
      <c r="E17" s="4">
        <v>1100</v>
      </c>
      <c r="F17" s="18"/>
      <c r="G17" s="4" t="s">
        <v>37</v>
      </c>
      <c r="H17" s="4" t="s">
        <v>37</v>
      </c>
      <c r="I17" s="4">
        <v>0</v>
      </c>
      <c r="J17" s="4" t="s">
        <v>37</v>
      </c>
      <c r="K17" s="4">
        <f t="shared" si="0"/>
        <v>1100</v>
      </c>
    </row>
    <row r="18" spans="1:11" x14ac:dyDescent="0.25">
      <c r="A18" s="21" t="s">
        <v>627</v>
      </c>
      <c r="B18" s="21" t="s">
        <v>650</v>
      </c>
      <c r="C18" s="21" t="s">
        <v>27</v>
      </c>
      <c r="D18" s="21" t="s">
        <v>33</v>
      </c>
      <c r="E18" s="22">
        <f>1450+750</f>
        <v>2200</v>
      </c>
      <c r="F18" s="23"/>
      <c r="G18" s="22" t="s">
        <v>403</v>
      </c>
      <c r="H18" s="22" t="s">
        <v>37</v>
      </c>
      <c r="I18" s="22">
        <v>300</v>
      </c>
      <c r="J18" s="22" t="s">
        <v>37</v>
      </c>
      <c r="K18" s="22">
        <f t="shared" si="0"/>
        <v>1900</v>
      </c>
    </row>
    <row r="19" spans="1:11" x14ac:dyDescent="0.25">
      <c r="A19" s="5" t="s">
        <v>627</v>
      </c>
      <c r="B19" s="5" t="s">
        <v>651</v>
      </c>
      <c r="C19" s="5" t="s">
        <v>27</v>
      </c>
      <c r="D19" s="5" t="s">
        <v>33</v>
      </c>
      <c r="E19" s="4">
        <v>550</v>
      </c>
      <c r="F19" s="18"/>
      <c r="G19" s="4" t="s">
        <v>37</v>
      </c>
      <c r="H19" s="4" t="s">
        <v>37</v>
      </c>
      <c r="I19" s="4">
        <v>0</v>
      </c>
      <c r="J19" s="4" t="s">
        <v>37</v>
      </c>
      <c r="K19" s="4">
        <f t="shared" si="0"/>
        <v>550</v>
      </c>
    </row>
    <row r="20" spans="1:11" x14ac:dyDescent="0.25">
      <c r="A20" s="5" t="s">
        <v>652</v>
      </c>
      <c r="B20" s="5" t="s">
        <v>653</v>
      </c>
      <c r="C20" s="5" t="s">
        <v>27</v>
      </c>
      <c r="D20" s="5" t="s">
        <v>33</v>
      </c>
      <c r="E20" s="4">
        <v>3350</v>
      </c>
      <c r="F20" s="18"/>
      <c r="G20" s="4" t="s">
        <v>37</v>
      </c>
      <c r="H20" s="4" t="s">
        <v>37</v>
      </c>
      <c r="I20" s="4">
        <v>0</v>
      </c>
      <c r="J20" s="4" t="s">
        <v>37</v>
      </c>
      <c r="K20" s="4">
        <f t="shared" si="0"/>
        <v>3350</v>
      </c>
    </row>
    <row r="21" spans="1:11" x14ac:dyDescent="0.25">
      <c r="A21" s="5" t="s">
        <v>654</v>
      </c>
      <c r="B21" s="5" t="s">
        <v>655</v>
      </c>
      <c r="C21" s="5" t="s">
        <v>27</v>
      </c>
      <c r="D21" s="5" t="s">
        <v>33</v>
      </c>
      <c r="E21" s="4">
        <v>1000</v>
      </c>
      <c r="F21" s="18"/>
      <c r="G21" s="4" t="s">
        <v>178</v>
      </c>
      <c r="H21" s="4" t="s">
        <v>654</v>
      </c>
      <c r="I21" s="4">
        <v>305</v>
      </c>
      <c r="J21" s="4" t="s">
        <v>426</v>
      </c>
      <c r="K21" s="4">
        <f t="shared" si="0"/>
        <v>695</v>
      </c>
    </row>
    <row r="22" spans="1:11" x14ac:dyDescent="0.25">
      <c r="A22" s="5" t="s">
        <v>654</v>
      </c>
      <c r="B22" s="5" t="s">
        <v>656</v>
      </c>
      <c r="C22" s="5" t="s">
        <v>27</v>
      </c>
      <c r="D22" s="5" t="s">
        <v>33</v>
      </c>
      <c r="E22" s="4">
        <v>2700</v>
      </c>
      <c r="F22" s="18"/>
      <c r="G22" s="4" t="s">
        <v>551</v>
      </c>
      <c r="H22" s="4" t="s">
        <v>654</v>
      </c>
      <c r="I22" s="4">
        <v>1789</v>
      </c>
      <c r="J22" s="4" t="s">
        <v>65</v>
      </c>
      <c r="K22" s="4">
        <f t="shared" si="0"/>
        <v>911</v>
      </c>
    </row>
    <row r="23" spans="1:11" x14ac:dyDescent="0.25">
      <c r="A23" s="5" t="s">
        <v>657</v>
      </c>
      <c r="B23" s="5" t="s">
        <v>658</v>
      </c>
      <c r="C23" s="5" t="s">
        <v>27</v>
      </c>
      <c r="D23" s="5" t="s">
        <v>33</v>
      </c>
      <c r="E23" s="4">
        <f>1800+500</f>
        <v>2300</v>
      </c>
      <c r="F23" s="18"/>
      <c r="G23" s="4" t="s">
        <v>659</v>
      </c>
      <c r="H23" s="4" t="s">
        <v>657</v>
      </c>
      <c r="I23" s="4">
        <v>1300</v>
      </c>
      <c r="J23" s="4" t="s">
        <v>660</v>
      </c>
      <c r="K23" s="4">
        <f t="shared" si="0"/>
        <v>1000</v>
      </c>
    </row>
    <row r="24" spans="1:11" x14ac:dyDescent="0.25">
      <c r="A24" s="5" t="s">
        <v>657</v>
      </c>
      <c r="B24" s="5" t="s">
        <v>661</v>
      </c>
      <c r="C24" s="5" t="s">
        <v>27</v>
      </c>
      <c r="D24" s="5" t="s">
        <v>33</v>
      </c>
      <c r="E24" s="4">
        <v>750</v>
      </c>
      <c r="F24" s="18"/>
      <c r="G24" s="4" t="s">
        <v>37</v>
      </c>
      <c r="H24" s="4" t="s">
        <v>37</v>
      </c>
      <c r="I24" s="4">
        <v>0</v>
      </c>
      <c r="J24" s="4" t="s">
        <v>37</v>
      </c>
      <c r="K24" s="4">
        <f t="shared" si="0"/>
        <v>750</v>
      </c>
    </row>
    <row r="25" spans="1:11" x14ac:dyDescent="0.25">
      <c r="F25" s="16"/>
      <c r="H25" s="10"/>
      <c r="J25" s="10"/>
    </row>
    <row r="26" spans="1:11" x14ac:dyDescent="0.25">
      <c r="F26" s="16"/>
      <c r="H26" s="10"/>
      <c r="J26" s="10"/>
    </row>
    <row r="27" spans="1:11" x14ac:dyDescent="0.25">
      <c r="F27" s="16"/>
      <c r="H27" s="10"/>
      <c r="J27" s="10"/>
      <c r="K27" s="10">
        <f t="shared" si="0"/>
        <v>0</v>
      </c>
    </row>
    <row r="28" spans="1:11" x14ac:dyDescent="0.25">
      <c r="F28" s="16"/>
      <c r="H28" s="10"/>
      <c r="J28" s="10"/>
      <c r="K28" s="10">
        <f t="shared" si="0"/>
        <v>0</v>
      </c>
    </row>
    <row r="29" spans="1:11" x14ac:dyDescent="0.25">
      <c r="F29" s="16"/>
      <c r="H29" s="10"/>
      <c r="J29" s="10"/>
      <c r="K29" s="10">
        <f t="shared" si="0"/>
        <v>0</v>
      </c>
    </row>
    <row r="30" spans="1:11" x14ac:dyDescent="0.25">
      <c r="F30" s="16"/>
      <c r="H30" s="10"/>
      <c r="J30" s="10"/>
      <c r="K30" s="10">
        <f t="shared" si="0"/>
        <v>0</v>
      </c>
    </row>
    <row r="31" spans="1:11" x14ac:dyDescent="0.25">
      <c r="F31" s="16"/>
      <c r="H31" s="10"/>
      <c r="J31" s="10"/>
      <c r="K31" s="10">
        <f t="shared" si="0"/>
        <v>0</v>
      </c>
    </row>
    <row r="32" spans="1:11" x14ac:dyDescent="0.25">
      <c r="F32" s="16"/>
      <c r="H32" s="10"/>
      <c r="J32" s="10"/>
      <c r="K32" s="10">
        <f t="shared" si="0"/>
        <v>0</v>
      </c>
    </row>
    <row r="33" spans="1:11" x14ac:dyDescent="0.25">
      <c r="F33" s="16"/>
      <c r="H33" s="10"/>
      <c r="J33" s="10"/>
      <c r="K33" s="10">
        <f t="shared" si="0"/>
        <v>0</v>
      </c>
    </row>
    <row r="34" spans="1:11" x14ac:dyDescent="0.25">
      <c r="F34" s="16"/>
      <c r="H34" s="10"/>
      <c r="J34" s="10"/>
    </row>
    <row r="35" spans="1:11" x14ac:dyDescent="0.25">
      <c r="F35" s="16"/>
    </row>
    <row r="36" spans="1:11" s="11" customFormat="1" x14ac:dyDescent="0.25">
      <c r="A36" s="11" t="s">
        <v>514</v>
      </c>
      <c r="E36" s="12"/>
      <c r="F36" s="17"/>
      <c r="G36" s="12"/>
      <c r="I36" s="12"/>
      <c r="K36" s="12"/>
    </row>
    <row r="37" spans="1:11" x14ac:dyDescent="0.25">
      <c r="F37" s="16"/>
    </row>
    <row r="38" spans="1:11" x14ac:dyDescent="0.25">
      <c r="A38" s="21" t="s">
        <v>626</v>
      </c>
      <c r="B38" s="21" t="s">
        <v>108</v>
      </c>
      <c r="C38" s="22">
        <v>1400</v>
      </c>
      <c r="H38" s="10"/>
      <c r="J38" s="10"/>
    </row>
    <row r="39" spans="1:11" x14ac:dyDescent="0.25">
      <c r="A39" s="21" t="s">
        <v>626</v>
      </c>
      <c r="B39" s="21" t="s">
        <v>297</v>
      </c>
      <c r="C39" s="22">
        <v>1400</v>
      </c>
      <c r="F39" s="16"/>
    </row>
    <row r="40" spans="1:11" x14ac:dyDescent="0.25">
      <c r="A40" s="21" t="s">
        <v>594</v>
      </c>
      <c r="B40" s="21" t="s">
        <v>108</v>
      </c>
      <c r="C40" s="22">
        <v>1400</v>
      </c>
      <c r="F40" s="16"/>
    </row>
    <row r="41" spans="1:11" x14ac:dyDescent="0.25">
      <c r="A41" s="21" t="s">
        <v>594</v>
      </c>
      <c r="B41" s="21" t="s">
        <v>297</v>
      </c>
      <c r="C41" s="22">
        <v>1400</v>
      </c>
      <c r="F41" s="16"/>
    </row>
    <row r="42" spans="1:11" s="10" customFormat="1" x14ac:dyDescent="0.25">
      <c r="A42" s="21" t="s">
        <v>627</v>
      </c>
      <c r="B42" s="21" t="s">
        <v>297</v>
      </c>
      <c r="C42" s="22">
        <v>1400</v>
      </c>
      <c r="D42" s="9"/>
      <c r="F42" s="16"/>
      <c r="H42" s="9"/>
      <c r="J42" s="9"/>
    </row>
    <row r="43" spans="1:11" s="10" customFormat="1" x14ac:dyDescent="0.25">
      <c r="A43" s="21" t="s">
        <v>627</v>
      </c>
      <c r="B43" s="21" t="s">
        <v>108</v>
      </c>
      <c r="C43" s="22">
        <v>1400</v>
      </c>
      <c r="D43" s="9"/>
      <c r="F43" s="16"/>
      <c r="H43" s="9"/>
      <c r="J43" s="9"/>
    </row>
    <row r="44" spans="1:11" s="10" customFormat="1" x14ac:dyDescent="0.25">
      <c r="A44" s="21" t="s">
        <v>627</v>
      </c>
      <c r="B44" s="21" t="s">
        <v>206</v>
      </c>
      <c r="C44" s="22">
        <v>6000</v>
      </c>
      <c r="D44" s="9"/>
      <c r="F44" s="9"/>
      <c r="H44" s="9"/>
      <c r="J44" s="9"/>
    </row>
    <row r="45" spans="1:11" s="10" customFormat="1" x14ac:dyDescent="0.25">
      <c r="A45" s="21" t="s">
        <v>647</v>
      </c>
      <c r="B45" s="21" t="s">
        <v>648</v>
      </c>
      <c r="C45" s="22">
        <v>1000</v>
      </c>
      <c r="D45" s="9"/>
      <c r="F45" s="9"/>
      <c r="H45" s="9"/>
      <c r="J45" s="9"/>
    </row>
    <row r="46" spans="1:11" s="10" customFormat="1" x14ac:dyDescent="0.25">
      <c r="A46" s="21" t="s">
        <v>628</v>
      </c>
      <c r="B46" s="21" t="s">
        <v>108</v>
      </c>
      <c r="C46" s="22">
        <v>1400</v>
      </c>
      <c r="D46" s="9"/>
      <c r="F46" s="16"/>
      <c r="H46" s="9"/>
      <c r="J46" s="9"/>
    </row>
    <row r="47" spans="1:11" s="10" customFormat="1" x14ac:dyDescent="0.25">
      <c r="A47" s="21" t="s">
        <v>628</v>
      </c>
      <c r="B47" s="21" t="s">
        <v>297</v>
      </c>
      <c r="C47" s="22">
        <v>1400</v>
      </c>
      <c r="D47" s="9"/>
      <c r="F47" s="16"/>
      <c r="H47" s="9"/>
      <c r="J47" s="9"/>
    </row>
    <row r="48" spans="1:11" s="10" customFormat="1" x14ac:dyDescent="0.25">
      <c r="A48" s="19" t="s">
        <v>628</v>
      </c>
      <c r="B48" s="19" t="s">
        <v>398</v>
      </c>
      <c r="C48" s="20">
        <v>3000</v>
      </c>
      <c r="D48" s="9"/>
      <c r="F48" s="9"/>
      <c r="H48" s="9"/>
      <c r="J48" s="9"/>
    </row>
    <row r="49" spans="1:10" s="10" customFormat="1" x14ac:dyDescent="0.25">
      <c r="A49" s="19" t="s">
        <v>629</v>
      </c>
      <c r="B49" s="19" t="s">
        <v>574</v>
      </c>
      <c r="C49" s="20">
        <v>500</v>
      </c>
      <c r="D49" s="9"/>
      <c r="F49" s="9"/>
      <c r="H49" s="9"/>
      <c r="J49" s="9"/>
    </row>
    <row r="50" spans="1:10" s="10" customFormat="1" x14ac:dyDescent="0.25">
      <c r="A50" s="5" t="s">
        <v>629</v>
      </c>
      <c r="B50" s="5" t="s">
        <v>72</v>
      </c>
      <c r="C50" s="4">
        <v>550</v>
      </c>
      <c r="D50" s="9"/>
      <c r="F50" s="9"/>
      <c r="H50" s="9"/>
      <c r="J50" s="9"/>
    </row>
    <row r="51" spans="1:10" s="10" customFormat="1" x14ac:dyDescent="0.25">
      <c r="A51" s="5" t="s">
        <v>624</v>
      </c>
      <c r="B51" s="5" t="s">
        <v>87</v>
      </c>
      <c r="C51" s="4">
        <v>1000</v>
      </c>
      <c r="D51" s="9"/>
      <c r="F51" s="9"/>
      <c r="H51" s="9"/>
      <c r="J51" s="9"/>
    </row>
    <row r="52" spans="1:10" s="10" customFormat="1" x14ac:dyDescent="0.25">
      <c r="A52" s="5" t="s">
        <v>624</v>
      </c>
      <c r="B52" s="5" t="s">
        <v>630</v>
      </c>
      <c r="C52" s="4">
        <v>1000</v>
      </c>
      <c r="D52" s="9"/>
      <c r="F52" s="9"/>
      <c r="H52" s="9"/>
      <c r="J52" s="9"/>
    </row>
    <row r="53" spans="1:10" s="10" customFormat="1" x14ac:dyDescent="0.25">
      <c r="A53" s="9"/>
      <c r="B53" s="9"/>
      <c r="D53" s="9"/>
      <c r="F53" s="9"/>
      <c r="H53" s="9"/>
      <c r="J53" s="9"/>
    </row>
    <row r="54" spans="1:10" s="10" customFormat="1" x14ac:dyDescent="0.25">
      <c r="A54" s="9"/>
      <c r="B54" s="9"/>
      <c r="D54" s="9"/>
      <c r="F54" s="9"/>
    </row>
    <row r="55" spans="1:10" s="10" customFormat="1" x14ac:dyDescent="0.25">
      <c r="A55" s="9"/>
      <c r="B55" s="9"/>
      <c r="D55" s="9"/>
      <c r="F55" s="9"/>
    </row>
    <row r="56" spans="1:10" s="10" customFormat="1" x14ac:dyDescent="0.25">
      <c r="A56" s="9"/>
      <c r="B56" s="9"/>
      <c r="D56" s="9"/>
      <c r="F56" s="9"/>
    </row>
    <row r="57" spans="1:10" s="10" customFormat="1" x14ac:dyDescent="0.25">
      <c r="A57" s="9"/>
      <c r="B57" s="9"/>
      <c r="D57" s="9"/>
      <c r="F57" s="9"/>
    </row>
    <row r="58" spans="1:10" s="10" customFormat="1" x14ac:dyDescent="0.25">
      <c r="A58" s="9"/>
      <c r="B58" s="9"/>
      <c r="C58" s="9"/>
      <c r="D58" s="9"/>
      <c r="F58" s="9"/>
    </row>
    <row r="59" spans="1:10" s="10" customFormat="1" x14ac:dyDescent="0.25"/>
    <row r="60" spans="1:10" s="10" customFormat="1" x14ac:dyDescent="0.25"/>
    <row r="61" spans="1:10" s="10" customFormat="1" x14ac:dyDescent="0.25"/>
    <row r="62" spans="1:10" s="10" customFormat="1" x14ac:dyDescent="0.25"/>
    <row r="63" spans="1:10" s="10" customFormat="1" x14ac:dyDescent="0.25"/>
    <row r="64" spans="1:10" s="10" customFormat="1" x14ac:dyDescent="0.25"/>
    <row r="65" spans="3:11" s="10" customFormat="1" x14ac:dyDescent="0.25"/>
    <row r="66" spans="3:11" s="10" customFormat="1" x14ac:dyDescent="0.25">
      <c r="H66" s="9"/>
      <c r="J66" s="9"/>
    </row>
    <row r="67" spans="3:11" s="10" customFormat="1" x14ac:dyDescent="0.25">
      <c r="H67" s="9"/>
      <c r="J67" s="9"/>
    </row>
    <row r="68" spans="3:11" s="10" customFormat="1" x14ac:dyDescent="0.25">
      <c r="H68" s="9"/>
      <c r="J68" s="9"/>
    </row>
    <row r="69" spans="3:11" s="10" customFormat="1" x14ac:dyDescent="0.25">
      <c r="H69" s="9"/>
      <c r="J69" s="9"/>
    </row>
    <row r="70" spans="3:11" s="10" customFormat="1" x14ac:dyDescent="0.25">
      <c r="H70" s="9"/>
      <c r="J70" s="9"/>
    </row>
    <row r="71" spans="3:11" s="10" customFormat="1" x14ac:dyDescent="0.25">
      <c r="H71" s="9"/>
      <c r="J71" s="9"/>
    </row>
    <row r="72" spans="3:11" s="10" customFormat="1" x14ac:dyDescent="0.25">
      <c r="H72" s="9"/>
      <c r="J72" s="9"/>
    </row>
    <row r="73" spans="3:11" s="10" customFormat="1" x14ac:dyDescent="0.25">
      <c r="H73" s="9"/>
      <c r="J73" s="9"/>
    </row>
    <row r="74" spans="3:11" s="10" customFormat="1" x14ac:dyDescent="0.25">
      <c r="H74" s="9"/>
      <c r="J74" s="9"/>
    </row>
    <row r="75" spans="3:11" s="10" customFormat="1" x14ac:dyDescent="0.25">
      <c r="H75" s="9"/>
      <c r="J75" s="9"/>
    </row>
    <row r="76" spans="3:11" s="10" customFormat="1" x14ac:dyDescent="0.25">
      <c r="H76" s="9"/>
      <c r="J76" s="9"/>
    </row>
    <row r="77" spans="3:11" s="10" customFormat="1" x14ac:dyDescent="0.25">
      <c r="H77" s="9"/>
      <c r="J77" s="9"/>
    </row>
    <row r="78" spans="3:11" s="10" customFormat="1" x14ac:dyDescent="0.25">
      <c r="H78" s="9"/>
      <c r="J78" s="9"/>
    </row>
    <row r="79" spans="3:11" s="10" customFormat="1" x14ac:dyDescent="0.25">
      <c r="H79" s="9"/>
      <c r="J79" s="9"/>
    </row>
    <row r="80" spans="3:11" s="11" customFormat="1" x14ac:dyDescent="0.25">
      <c r="C80" s="12"/>
      <c r="E80" s="12"/>
      <c r="G80" s="12"/>
      <c r="I80" s="12"/>
      <c r="K80" s="12"/>
    </row>
    <row r="81" spans="1:3" x14ac:dyDescent="0.25">
      <c r="C81" s="10"/>
    </row>
    <row r="82" spans="1:3" x14ac:dyDescent="0.25">
      <c r="A82" s="13"/>
      <c r="C82" s="10"/>
    </row>
    <row r="83" spans="1:3" x14ac:dyDescent="0.25">
      <c r="C83" s="10"/>
    </row>
    <row r="84" spans="1:3" x14ac:dyDescent="0.25">
      <c r="C84" s="10"/>
    </row>
    <row r="85" spans="1:3" x14ac:dyDescent="0.25">
      <c r="C85" s="10"/>
    </row>
    <row r="86" spans="1:3" x14ac:dyDescent="0.25">
      <c r="C86" s="10"/>
    </row>
    <row r="87" spans="1:3" x14ac:dyDescent="0.25">
      <c r="C87" s="10"/>
    </row>
    <row r="88" spans="1:3" x14ac:dyDescent="0.25">
      <c r="C88" s="10"/>
    </row>
    <row r="89" spans="1:3" x14ac:dyDescent="0.25">
      <c r="C89" s="10"/>
    </row>
    <row r="90" spans="1:3" x14ac:dyDescent="0.25">
      <c r="C90" s="10"/>
    </row>
    <row r="91" spans="1:3" x14ac:dyDescent="0.25">
      <c r="C91" s="10"/>
    </row>
    <row r="92" spans="1:3" x14ac:dyDescent="0.25">
      <c r="C92" s="10"/>
    </row>
    <row r="93" spans="1:3" x14ac:dyDescent="0.25">
      <c r="C93" s="10"/>
    </row>
    <row r="94" spans="1:3" x14ac:dyDescent="0.25">
      <c r="C94" s="10"/>
    </row>
    <row r="95" spans="1:3" x14ac:dyDescent="0.25">
      <c r="C95" s="10"/>
    </row>
    <row r="96" spans="1:3" x14ac:dyDescent="0.25">
      <c r="C96" s="10"/>
    </row>
    <row r="97" spans="3:3" x14ac:dyDescent="0.25">
      <c r="C97" s="10"/>
    </row>
    <row r="98" spans="3:3" x14ac:dyDescent="0.25">
      <c r="C98" s="1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99"/>
  <sheetViews>
    <sheetView topLeftCell="B1" workbookViewId="0">
      <pane ySplit="3" topLeftCell="A4" activePane="bottomLeft" state="frozen"/>
      <selection activeCell="K26" activeCellId="1" sqref="K29:K30 K26"/>
      <selection pane="bottomLeft" activeCell="A20" sqref="A14:K20"/>
    </sheetView>
  </sheetViews>
  <sheetFormatPr baseColWidth="10" defaultColWidth="10.7109375" defaultRowHeight="15" x14ac:dyDescent="0.25"/>
  <cols>
    <col min="1" max="1" width="22.7109375" style="9" customWidth="1"/>
    <col min="2" max="2" width="62.28515625" style="9" customWidth="1"/>
    <col min="3" max="3" width="22.42578125" style="9" customWidth="1"/>
    <col min="4" max="4" width="37.5703125" style="9" customWidth="1"/>
    <col min="5" max="5" width="10.7109375" style="10"/>
    <col min="6" max="6" width="10.7109375" style="9" hidden="1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2" s="11" customFormat="1" x14ac:dyDescent="0.25">
      <c r="A1" s="11" t="s">
        <v>0</v>
      </c>
      <c r="E1" s="12"/>
      <c r="G1" s="12"/>
      <c r="I1" s="12"/>
    </row>
    <row r="3" spans="1:12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12" t="s">
        <v>13</v>
      </c>
    </row>
    <row r="4" spans="1:12" x14ac:dyDescent="0.25">
      <c r="A4" s="5" t="s">
        <v>662</v>
      </c>
      <c r="B4" s="5" t="s">
        <v>160</v>
      </c>
      <c r="C4" s="5" t="s">
        <v>27</v>
      </c>
      <c r="D4" s="5" t="s">
        <v>33</v>
      </c>
      <c r="E4" s="4">
        <v>1450</v>
      </c>
      <c r="F4" s="5"/>
      <c r="G4" s="4" t="s">
        <v>75</v>
      </c>
      <c r="H4" s="4" t="s">
        <v>662</v>
      </c>
      <c r="I4" s="4">
        <v>400</v>
      </c>
      <c r="J4" s="4" t="s">
        <v>426</v>
      </c>
      <c r="K4" s="4">
        <f t="shared" ref="K4:K34" si="0">E4-I4</f>
        <v>1050</v>
      </c>
    </row>
    <row r="5" spans="1:12" x14ac:dyDescent="0.25">
      <c r="A5" s="5" t="s">
        <v>662</v>
      </c>
      <c r="B5" s="5" t="s">
        <v>663</v>
      </c>
      <c r="C5" s="5" t="s">
        <v>27</v>
      </c>
      <c r="D5" s="5" t="s">
        <v>33</v>
      </c>
      <c r="E5" s="4">
        <v>350</v>
      </c>
      <c r="F5" s="5"/>
      <c r="G5" s="4" t="s">
        <v>37</v>
      </c>
      <c r="H5" s="4" t="s">
        <v>37</v>
      </c>
      <c r="I5" s="4">
        <v>0</v>
      </c>
      <c r="J5" s="4" t="s">
        <v>37</v>
      </c>
      <c r="K5" s="4">
        <f t="shared" ref="K5:K11" si="1">E5-I5</f>
        <v>350</v>
      </c>
      <c r="L5" s="5"/>
    </row>
    <row r="6" spans="1:12" x14ac:dyDescent="0.25">
      <c r="A6" s="5" t="s">
        <v>664</v>
      </c>
      <c r="B6" s="5" t="s">
        <v>665</v>
      </c>
      <c r="C6" s="5" t="s">
        <v>27</v>
      </c>
      <c r="D6" s="5" t="s">
        <v>457</v>
      </c>
      <c r="E6" s="4">
        <v>16470</v>
      </c>
      <c r="F6" s="5"/>
      <c r="G6" s="4" t="s">
        <v>666</v>
      </c>
      <c r="H6" s="4" t="s">
        <v>664</v>
      </c>
      <c r="I6" s="4">
        <v>6800</v>
      </c>
      <c r="J6" s="4" t="s">
        <v>426</v>
      </c>
      <c r="K6" s="4">
        <f t="shared" si="1"/>
        <v>9670</v>
      </c>
    </row>
    <row r="7" spans="1:12" x14ac:dyDescent="0.25">
      <c r="A7" s="5" t="s">
        <v>664</v>
      </c>
      <c r="B7" s="5" t="s">
        <v>667</v>
      </c>
      <c r="C7" s="5" t="s">
        <v>27</v>
      </c>
      <c r="D7" s="5" t="s">
        <v>668</v>
      </c>
      <c r="E7" s="4">
        <v>1950</v>
      </c>
      <c r="F7" s="5"/>
      <c r="G7" s="4" t="s">
        <v>131</v>
      </c>
      <c r="H7" s="4" t="s">
        <v>662</v>
      </c>
      <c r="I7" s="4">
        <v>577</v>
      </c>
      <c r="J7" s="4" t="s">
        <v>426</v>
      </c>
      <c r="K7" s="4">
        <f t="shared" si="1"/>
        <v>1373</v>
      </c>
    </row>
    <row r="8" spans="1:12" x14ac:dyDescent="0.25">
      <c r="A8" s="5" t="s">
        <v>664</v>
      </c>
      <c r="B8" s="5" t="s">
        <v>678</v>
      </c>
      <c r="C8" s="5" t="s">
        <v>27</v>
      </c>
      <c r="D8" s="5" t="s">
        <v>679</v>
      </c>
      <c r="E8" s="4">
        <v>5700</v>
      </c>
      <c r="F8" s="5"/>
      <c r="G8" s="4" t="s">
        <v>666</v>
      </c>
      <c r="H8" s="4" t="s">
        <v>664</v>
      </c>
      <c r="I8" s="4">
        <v>4300</v>
      </c>
      <c r="J8" s="4" t="s">
        <v>426</v>
      </c>
      <c r="K8" s="4">
        <f t="shared" si="1"/>
        <v>1400</v>
      </c>
    </row>
    <row r="9" spans="1:12" x14ac:dyDescent="0.25">
      <c r="A9" s="5" t="s">
        <v>664</v>
      </c>
      <c r="B9" s="5" t="s">
        <v>692</v>
      </c>
      <c r="C9" s="5" t="s">
        <v>27</v>
      </c>
      <c r="D9" s="5" t="s">
        <v>33</v>
      </c>
      <c r="E9" s="4">
        <v>2300</v>
      </c>
      <c r="F9" s="5"/>
      <c r="G9" s="4" t="s">
        <v>691</v>
      </c>
      <c r="H9" s="4" t="s">
        <v>664</v>
      </c>
      <c r="I9" s="4">
        <f>522+300</f>
        <v>822</v>
      </c>
      <c r="J9" s="4" t="s">
        <v>202</v>
      </c>
      <c r="K9" s="4">
        <f>E9-I9</f>
        <v>1478</v>
      </c>
    </row>
    <row r="10" spans="1:12" x14ac:dyDescent="0.25">
      <c r="A10" s="5" t="s">
        <v>664</v>
      </c>
      <c r="B10" s="5" t="s">
        <v>680</v>
      </c>
      <c r="C10" s="5" t="s">
        <v>27</v>
      </c>
      <c r="D10" s="5" t="s">
        <v>33</v>
      </c>
      <c r="E10" s="4">
        <v>3350</v>
      </c>
      <c r="F10" s="5"/>
      <c r="G10" s="4" t="s">
        <v>681</v>
      </c>
      <c r="H10" s="4" t="s">
        <v>664</v>
      </c>
      <c r="I10" s="4">
        <v>2399</v>
      </c>
      <c r="J10" s="4" t="s">
        <v>65</v>
      </c>
      <c r="K10" s="4">
        <f t="shared" si="1"/>
        <v>951</v>
      </c>
    </row>
    <row r="11" spans="1:12" x14ac:dyDescent="0.25">
      <c r="A11" s="5" t="s">
        <v>682</v>
      </c>
      <c r="B11" s="5" t="s">
        <v>683</v>
      </c>
      <c r="C11" s="5" t="s">
        <v>27</v>
      </c>
      <c r="D11" s="5" t="s">
        <v>33</v>
      </c>
      <c r="E11" s="4">
        <f>1700+1300+300</f>
        <v>3300</v>
      </c>
      <c r="F11" s="5"/>
      <c r="G11" s="4" t="s">
        <v>684</v>
      </c>
      <c r="H11" s="4" t="s">
        <v>682</v>
      </c>
      <c r="I11" s="4">
        <v>1300</v>
      </c>
      <c r="J11" s="4" t="s">
        <v>426</v>
      </c>
      <c r="K11" s="4">
        <f t="shared" si="1"/>
        <v>2000</v>
      </c>
    </row>
    <row r="12" spans="1:12" x14ac:dyDescent="0.25">
      <c r="A12" s="5" t="s">
        <v>685</v>
      </c>
      <c r="B12" s="5" t="s">
        <v>686</v>
      </c>
      <c r="C12" s="5" t="s">
        <v>27</v>
      </c>
      <c r="D12" s="5" t="s">
        <v>33</v>
      </c>
      <c r="E12" s="4">
        <v>1550</v>
      </c>
      <c r="F12" s="5"/>
      <c r="G12" s="4" t="s">
        <v>178</v>
      </c>
      <c r="H12" s="4" t="s">
        <v>685</v>
      </c>
      <c r="I12" s="4">
        <v>999</v>
      </c>
      <c r="J12" s="4" t="s">
        <v>426</v>
      </c>
      <c r="K12" s="4">
        <f t="shared" ref="K12:K22" si="2">E12-I12</f>
        <v>551</v>
      </c>
    </row>
    <row r="13" spans="1:12" x14ac:dyDescent="0.25">
      <c r="A13" s="5" t="s">
        <v>685</v>
      </c>
      <c r="B13" s="5" t="s">
        <v>687</v>
      </c>
      <c r="C13" s="5" t="s">
        <v>27</v>
      </c>
      <c r="D13" s="5" t="s">
        <v>33</v>
      </c>
      <c r="E13" s="4">
        <v>550</v>
      </c>
      <c r="F13" s="18"/>
      <c r="G13" s="4" t="s">
        <v>37</v>
      </c>
      <c r="H13" s="4" t="s">
        <v>37</v>
      </c>
      <c r="I13" s="4">
        <v>0</v>
      </c>
      <c r="J13" s="4" t="s">
        <v>37</v>
      </c>
      <c r="K13" s="4">
        <f t="shared" si="2"/>
        <v>550</v>
      </c>
    </row>
    <row r="14" spans="1:12" x14ac:dyDescent="0.25">
      <c r="A14" s="5" t="s">
        <v>688</v>
      </c>
      <c r="B14" s="5" t="s">
        <v>689</v>
      </c>
      <c r="C14" s="5" t="s">
        <v>27</v>
      </c>
      <c r="D14" s="5" t="s">
        <v>457</v>
      </c>
      <c r="E14" s="4">
        <v>1580</v>
      </c>
      <c r="F14" s="18"/>
      <c r="G14" s="4" t="s">
        <v>690</v>
      </c>
      <c r="H14" s="4" t="s">
        <v>685</v>
      </c>
      <c r="I14" s="4">
        <v>580</v>
      </c>
      <c r="J14" s="4" t="s">
        <v>426</v>
      </c>
      <c r="K14" s="4">
        <f t="shared" si="2"/>
        <v>1000</v>
      </c>
    </row>
    <row r="15" spans="1:12" x14ac:dyDescent="0.25">
      <c r="A15" s="5" t="s">
        <v>688</v>
      </c>
      <c r="B15" s="5" t="s">
        <v>78</v>
      </c>
      <c r="C15" s="5" t="s">
        <v>27</v>
      </c>
      <c r="D15" s="5" t="s">
        <v>33</v>
      </c>
      <c r="E15" s="4">
        <v>250</v>
      </c>
      <c r="F15" s="18"/>
      <c r="G15" s="4" t="s">
        <v>37</v>
      </c>
      <c r="H15" s="4" t="s">
        <v>37</v>
      </c>
      <c r="I15" s="4">
        <v>0</v>
      </c>
      <c r="J15" s="4" t="s">
        <v>37</v>
      </c>
      <c r="K15" s="4">
        <f t="shared" si="2"/>
        <v>250</v>
      </c>
    </row>
    <row r="16" spans="1:12" x14ac:dyDescent="0.25">
      <c r="A16" s="5" t="s">
        <v>688</v>
      </c>
      <c r="B16" s="5" t="s">
        <v>697</v>
      </c>
      <c r="C16" s="5" t="s">
        <v>27</v>
      </c>
      <c r="D16" s="5" t="s">
        <v>33</v>
      </c>
      <c r="E16" s="4">
        <v>1700</v>
      </c>
      <c r="F16" s="18"/>
      <c r="G16" s="4" t="s">
        <v>75</v>
      </c>
      <c r="H16" s="4" t="s">
        <v>685</v>
      </c>
      <c r="I16" s="4">
        <v>400</v>
      </c>
      <c r="J16" s="4" t="s">
        <v>426</v>
      </c>
      <c r="K16" s="4">
        <f t="shared" si="2"/>
        <v>1300</v>
      </c>
    </row>
    <row r="17" spans="1:11" x14ac:dyDescent="0.25">
      <c r="A17" s="5" t="s">
        <v>688</v>
      </c>
      <c r="B17" s="5" t="s">
        <v>693</v>
      </c>
      <c r="C17" s="5" t="s">
        <v>27</v>
      </c>
      <c r="D17" s="5" t="s">
        <v>694</v>
      </c>
      <c r="E17" s="4">
        <v>3500</v>
      </c>
      <c r="F17" s="18"/>
      <c r="G17" s="4" t="s">
        <v>695</v>
      </c>
      <c r="H17" s="4" t="s">
        <v>688</v>
      </c>
      <c r="I17" s="4">
        <v>1400</v>
      </c>
      <c r="J17" s="4" t="s">
        <v>426</v>
      </c>
      <c r="K17" s="4">
        <f t="shared" si="2"/>
        <v>2100</v>
      </c>
    </row>
    <row r="18" spans="1:11" x14ac:dyDescent="0.25">
      <c r="A18" s="5" t="s">
        <v>688</v>
      </c>
      <c r="B18" s="5" t="s">
        <v>696</v>
      </c>
      <c r="C18" s="5" t="s">
        <v>27</v>
      </c>
      <c r="D18" s="5" t="s">
        <v>33</v>
      </c>
      <c r="E18" s="4">
        <v>950</v>
      </c>
      <c r="F18" s="18"/>
      <c r="G18" s="4" t="s">
        <v>37</v>
      </c>
      <c r="H18" s="4" t="s">
        <v>37</v>
      </c>
      <c r="I18" s="4">
        <v>0</v>
      </c>
      <c r="J18" s="4" t="s">
        <v>37</v>
      </c>
      <c r="K18" s="4">
        <f t="shared" si="2"/>
        <v>950</v>
      </c>
    </row>
    <row r="19" spans="1:11" x14ac:dyDescent="0.25">
      <c r="A19" s="5" t="s">
        <v>672</v>
      </c>
      <c r="B19" s="5" t="s">
        <v>698</v>
      </c>
      <c r="C19" s="5" t="s">
        <v>27</v>
      </c>
      <c r="D19" s="5" t="s">
        <v>33</v>
      </c>
      <c r="E19" s="4">
        <v>750</v>
      </c>
      <c r="F19" s="18"/>
      <c r="G19" s="4" t="s">
        <v>37</v>
      </c>
      <c r="H19" s="4" t="s">
        <v>37</v>
      </c>
      <c r="I19" s="4">
        <v>0</v>
      </c>
      <c r="J19" s="4" t="s">
        <v>37</v>
      </c>
      <c r="K19" s="4">
        <f t="shared" si="2"/>
        <v>750</v>
      </c>
    </row>
    <row r="20" spans="1:11" x14ac:dyDescent="0.25">
      <c r="A20" s="5" t="s">
        <v>674</v>
      </c>
      <c r="B20" s="5" t="s">
        <v>699</v>
      </c>
      <c r="C20" s="5" t="s">
        <v>27</v>
      </c>
      <c r="D20" s="5" t="s">
        <v>33</v>
      </c>
      <c r="E20" s="4">
        <v>1900</v>
      </c>
      <c r="F20" s="18"/>
      <c r="G20" s="4" t="s">
        <v>700</v>
      </c>
      <c r="H20" s="4" t="s">
        <v>701</v>
      </c>
      <c r="I20" s="4">
        <v>850</v>
      </c>
      <c r="J20" s="4" t="s">
        <v>65</v>
      </c>
      <c r="K20" s="4">
        <f t="shared" si="2"/>
        <v>1050</v>
      </c>
    </row>
    <row r="21" spans="1:11" x14ac:dyDescent="0.25">
      <c r="A21" s="5" t="s">
        <v>672</v>
      </c>
      <c r="B21" s="5" t="s">
        <v>702</v>
      </c>
      <c r="C21" s="5" t="s">
        <v>27</v>
      </c>
      <c r="D21" s="5" t="s">
        <v>33</v>
      </c>
      <c r="E21" s="4">
        <v>750</v>
      </c>
      <c r="F21" s="18"/>
      <c r="G21" s="4" t="s">
        <v>37</v>
      </c>
      <c r="H21" s="4" t="s">
        <v>672</v>
      </c>
      <c r="I21" s="4">
        <v>300</v>
      </c>
      <c r="J21" s="4" t="s">
        <v>185</v>
      </c>
      <c r="K21" s="4">
        <f t="shared" si="2"/>
        <v>450</v>
      </c>
    </row>
    <row r="22" spans="1:11" x14ac:dyDescent="0.25">
      <c r="A22" s="5" t="s">
        <v>703</v>
      </c>
      <c r="B22" s="5" t="s">
        <v>704</v>
      </c>
      <c r="C22" s="5" t="s">
        <v>27</v>
      </c>
      <c r="D22" s="5" t="s">
        <v>33</v>
      </c>
      <c r="E22" s="4">
        <v>450</v>
      </c>
      <c r="F22" s="18"/>
      <c r="G22" s="4" t="s">
        <v>37</v>
      </c>
      <c r="H22" s="4" t="s">
        <v>37</v>
      </c>
      <c r="I22" s="4">
        <v>0</v>
      </c>
      <c r="J22" s="4" t="s">
        <v>37</v>
      </c>
      <c r="K22" s="4">
        <f t="shared" si="2"/>
        <v>450</v>
      </c>
    </row>
    <row r="23" spans="1:11" x14ac:dyDescent="0.25">
      <c r="F23" s="16"/>
      <c r="H23" s="10"/>
      <c r="J23" s="10"/>
    </row>
    <row r="24" spans="1:11" x14ac:dyDescent="0.25">
      <c r="F24" s="16"/>
      <c r="H24" s="10"/>
      <c r="J24" s="10"/>
    </row>
    <row r="25" spans="1:11" x14ac:dyDescent="0.25">
      <c r="F25" s="16"/>
      <c r="H25" s="10"/>
      <c r="J25" s="10"/>
    </row>
    <row r="26" spans="1:11" x14ac:dyDescent="0.25">
      <c r="F26" s="16"/>
      <c r="H26" s="10"/>
      <c r="J26" s="10"/>
    </row>
    <row r="27" spans="1:11" x14ac:dyDescent="0.25">
      <c r="F27" s="16"/>
      <c r="H27" s="10"/>
      <c r="J27" s="10"/>
    </row>
    <row r="28" spans="1:11" x14ac:dyDescent="0.25">
      <c r="F28" s="16"/>
      <c r="H28" s="10"/>
      <c r="J28" s="10"/>
      <c r="K28" s="10">
        <f t="shared" si="0"/>
        <v>0</v>
      </c>
    </row>
    <row r="29" spans="1:11" x14ac:dyDescent="0.25">
      <c r="F29" s="16"/>
      <c r="H29" s="10"/>
      <c r="J29" s="10"/>
      <c r="K29" s="10">
        <f t="shared" si="0"/>
        <v>0</v>
      </c>
    </row>
    <row r="30" spans="1:11" x14ac:dyDescent="0.25">
      <c r="F30" s="16"/>
      <c r="H30" s="10"/>
      <c r="J30" s="10"/>
      <c r="K30" s="10">
        <f t="shared" si="0"/>
        <v>0</v>
      </c>
    </row>
    <row r="31" spans="1:11" x14ac:dyDescent="0.25">
      <c r="F31" s="16"/>
      <c r="H31" s="10"/>
      <c r="J31" s="10"/>
      <c r="K31" s="10">
        <f t="shared" si="0"/>
        <v>0</v>
      </c>
    </row>
    <row r="32" spans="1:11" x14ac:dyDescent="0.25">
      <c r="F32" s="16"/>
      <c r="H32" s="10"/>
      <c r="J32" s="10"/>
      <c r="K32" s="10">
        <f t="shared" si="0"/>
        <v>0</v>
      </c>
    </row>
    <row r="33" spans="1:11" x14ac:dyDescent="0.25">
      <c r="F33" s="16"/>
      <c r="H33" s="10"/>
      <c r="J33" s="10"/>
      <c r="K33" s="10">
        <f t="shared" si="0"/>
        <v>0</v>
      </c>
    </row>
    <row r="34" spans="1:11" x14ac:dyDescent="0.25">
      <c r="F34" s="16"/>
      <c r="H34" s="10"/>
      <c r="J34" s="10"/>
      <c r="K34" s="10">
        <f t="shared" si="0"/>
        <v>0</v>
      </c>
    </row>
    <row r="35" spans="1:11" x14ac:dyDescent="0.25">
      <c r="F35" s="16"/>
      <c r="H35" s="10"/>
      <c r="J35" s="10"/>
    </row>
    <row r="36" spans="1:11" x14ac:dyDescent="0.25">
      <c r="F36" s="16"/>
    </row>
    <row r="37" spans="1:11" s="11" customFormat="1" x14ac:dyDescent="0.25">
      <c r="A37" s="11" t="s">
        <v>669</v>
      </c>
      <c r="E37" s="12"/>
      <c r="F37" s="17"/>
      <c r="G37" s="12"/>
      <c r="I37" s="12"/>
      <c r="K37" s="12"/>
    </row>
    <row r="38" spans="1:11" x14ac:dyDescent="0.25">
      <c r="F38" s="16"/>
    </row>
    <row r="39" spans="1:11" x14ac:dyDescent="0.25">
      <c r="A39" s="21" t="s">
        <v>670</v>
      </c>
      <c r="B39" s="21" t="s">
        <v>108</v>
      </c>
      <c r="C39" s="22">
        <v>1400</v>
      </c>
      <c r="H39" s="10"/>
      <c r="J39" s="10"/>
    </row>
    <row r="40" spans="1:11" x14ac:dyDescent="0.25">
      <c r="A40" s="21" t="s">
        <v>670</v>
      </c>
      <c r="B40" s="21" t="s">
        <v>297</v>
      </c>
      <c r="C40" s="22">
        <v>1500</v>
      </c>
      <c r="F40" s="16"/>
    </row>
    <row r="41" spans="1:11" x14ac:dyDescent="0.25">
      <c r="A41" s="21" t="s">
        <v>671</v>
      </c>
      <c r="B41" s="21" t="s">
        <v>108</v>
      </c>
      <c r="C41" s="22">
        <v>1400</v>
      </c>
      <c r="F41" s="16"/>
    </row>
    <row r="42" spans="1:11" x14ac:dyDescent="0.25">
      <c r="A42" s="21" t="s">
        <v>671</v>
      </c>
      <c r="B42" s="21" t="s">
        <v>297</v>
      </c>
      <c r="C42" s="22">
        <v>1500</v>
      </c>
      <c r="F42" s="16"/>
    </row>
    <row r="43" spans="1:11" s="10" customFormat="1" x14ac:dyDescent="0.25">
      <c r="A43" s="21" t="s">
        <v>672</v>
      </c>
      <c r="B43" s="21" t="s">
        <v>297</v>
      </c>
      <c r="C43" s="22">
        <v>1500</v>
      </c>
      <c r="D43" s="9"/>
      <c r="F43" s="16"/>
      <c r="H43" s="9"/>
      <c r="J43" s="9"/>
    </row>
    <row r="44" spans="1:11" s="10" customFormat="1" x14ac:dyDescent="0.25">
      <c r="A44" s="21" t="s">
        <v>672</v>
      </c>
      <c r="B44" s="21" t="s">
        <v>108</v>
      </c>
      <c r="C44" s="22">
        <v>1400</v>
      </c>
      <c r="D44" s="9"/>
      <c r="F44" s="16"/>
      <c r="H44" s="9"/>
      <c r="J44" s="9"/>
    </row>
    <row r="45" spans="1:11" s="10" customFormat="1" x14ac:dyDescent="0.25">
      <c r="A45" s="21" t="s">
        <v>673</v>
      </c>
      <c r="B45" s="21" t="s">
        <v>206</v>
      </c>
      <c r="C45" s="22">
        <v>6000</v>
      </c>
      <c r="D45" s="9"/>
      <c r="F45" s="9"/>
      <c r="H45" s="9"/>
      <c r="J45" s="9"/>
    </row>
    <row r="46" spans="1:11" s="10" customFormat="1" x14ac:dyDescent="0.25">
      <c r="A46" s="21" t="s">
        <v>674</v>
      </c>
      <c r="B46" s="21" t="s">
        <v>648</v>
      </c>
      <c r="C46" s="22">
        <v>1000</v>
      </c>
      <c r="D46" s="9"/>
      <c r="F46" s="9"/>
      <c r="H46" s="9"/>
      <c r="J46" s="9"/>
    </row>
    <row r="47" spans="1:11" s="10" customFormat="1" x14ac:dyDescent="0.25">
      <c r="A47" s="21" t="s">
        <v>675</v>
      </c>
      <c r="B47" s="21" t="s">
        <v>108</v>
      </c>
      <c r="C47" s="22">
        <v>1400</v>
      </c>
      <c r="D47" s="9"/>
      <c r="F47" s="16"/>
      <c r="H47" s="9"/>
      <c r="J47" s="9"/>
    </row>
    <row r="48" spans="1:11" s="10" customFormat="1" x14ac:dyDescent="0.25">
      <c r="A48" s="21" t="s">
        <v>675</v>
      </c>
      <c r="B48" s="21" t="s">
        <v>297</v>
      </c>
      <c r="C48" s="22">
        <v>1500</v>
      </c>
      <c r="D48" s="9"/>
      <c r="F48" s="16"/>
      <c r="H48" s="9"/>
      <c r="J48" s="9"/>
    </row>
    <row r="49" spans="1:10" s="10" customFormat="1" x14ac:dyDescent="0.25">
      <c r="A49" s="21" t="s">
        <v>676</v>
      </c>
      <c r="B49" s="21" t="s">
        <v>398</v>
      </c>
      <c r="C49" s="22">
        <v>3000</v>
      </c>
      <c r="D49" s="9"/>
      <c r="F49" s="9"/>
      <c r="H49" s="9"/>
      <c r="J49" s="9"/>
    </row>
    <row r="50" spans="1:10" s="10" customFormat="1" x14ac:dyDescent="0.25">
      <c r="A50" s="19" t="s">
        <v>677</v>
      </c>
      <c r="B50" s="19" t="s">
        <v>574</v>
      </c>
      <c r="C50" s="20">
        <v>500</v>
      </c>
      <c r="D50" s="9"/>
      <c r="F50" s="9"/>
      <c r="H50" s="9"/>
      <c r="J50" s="9"/>
    </row>
    <row r="51" spans="1:10" s="10" customFormat="1" x14ac:dyDescent="0.25">
      <c r="A51" s="19" t="s">
        <v>677</v>
      </c>
      <c r="B51" s="9" t="s">
        <v>72</v>
      </c>
      <c r="C51" s="10">
        <v>550</v>
      </c>
      <c r="D51" s="9"/>
      <c r="F51" s="9"/>
      <c r="H51" s="9"/>
      <c r="J51" s="9"/>
    </row>
    <row r="52" spans="1:10" s="10" customFormat="1" x14ac:dyDescent="0.25">
      <c r="A52" s="9" t="s">
        <v>677</v>
      </c>
      <c r="B52" s="9" t="s">
        <v>87</v>
      </c>
      <c r="C52" s="10">
        <v>1200</v>
      </c>
      <c r="D52" s="9"/>
      <c r="F52" s="9"/>
      <c r="H52" s="9"/>
      <c r="J52" s="9"/>
    </row>
    <row r="53" spans="1:10" s="10" customFormat="1" x14ac:dyDescent="0.25">
      <c r="A53" s="9"/>
      <c r="B53" s="9"/>
      <c r="D53" s="9"/>
      <c r="F53" s="9"/>
      <c r="H53" s="9"/>
      <c r="J53" s="9"/>
    </row>
    <row r="54" spans="1:10" s="10" customFormat="1" x14ac:dyDescent="0.25">
      <c r="A54" s="9"/>
      <c r="B54" s="9"/>
      <c r="D54" s="9"/>
      <c r="F54" s="9"/>
      <c r="H54" s="9"/>
      <c r="J54" s="9"/>
    </row>
    <row r="55" spans="1:10" s="10" customFormat="1" x14ac:dyDescent="0.25">
      <c r="A55" s="9"/>
      <c r="B55" s="9"/>
      <c r="D55" s="9"/>
      <c r="F55" s="9"/>
    </row>
    <row r="56" spans="1:10" s="10" customFormat="1" x14ac:dyDescent="0.25">
      <c r="A56" s="9"/>
      <c r="B56" s="9"/>
      <c r="D56" s="9"/>
      <c r="F56" s="9"/>
    </row>
    <row r="57" spans="1:10" s="10" customFormat="1" x14ac:dyDescent="0.25">
      <c r="A57" s="9"/>
      <c r="B57" s="9"/>
      <c r="D57" s="9"/>
      <c r="F57" s="9"/>
    </row>
    <row r="58" spans="1:10" s="10" customFormat="1" x14ac:dyDescent="0.25">
      <c r="A58" s="9"/>
      <c r="B58" s="9"/>
      <c r="D58" s="9"/>
      <c r="F58" s="9"/>
    </row>
    <row r="59" spans="1:10" s="10" customFormat="1" x14ac:dyDescent="0.25">
      <c r="A59" s="9"/>
      <c r="B59" s="9"/>
      <c r="C59" s="9"/>
      <c r="D59" s="9"/>
      <c r="F59" s="9"/>
    </row>
    <row r="60" spans="1:10" s="10" customFormat="1" x14ac:dyDescent="0.25"/>
    <row r="61" spans="1:10" s="10" customFormat="1" x14ac:dyDescent="0.25"/>
    <row r="62" spans="1:10" s="10" customFormat="1" x14ac:dyDescent="0.25"/>
    <row r="63" spans="1:10" s="10" customFormat="1" x14ac:dyDescent="0.25"/>
    <row r="64" spans="1:10" s="10" customFormat="1" x14ac:dyDescent="0.25"/>
    <row r="65" spans="8:10" s="10" customFormat="1" x14ac:dyDescent="0.25"/>
    <row r="66" spans="8:10" s="10" customFormat="1" x14ac:dyDescent="0.25"/>
    <row r="67" spans="8:10" s="10" customFormat="1" x14ac:dyDescent="0.25">
      <c r="H67" s="9"/>
      <c r="J67" s="9"/>
    </row>
    <row r="68" spans="8:10" s="10" customFormat="1" x14ac:dyDescent="0.25">
      <c r="H68" s="9"/>
      <c r="J68" s="9"/>
    </row>
    <row r="69" spans="8:10" s="10" customFormat="1" x14ac:dyDescent="0.25">
      <c r="H69" s="9"/>
      <c r="J69" s="9"/>
    </row>
    <row r="70" spans="8:10" s="10" customFormat="1" x14ac:dyDescent="0.25">
      <c r="H70" s="9"/>
      <c r="J70" s="9"/>
    </row>
    <row r="71" spans="8:10" s="10" customFormat="1" x14ac:dyDescent="0.25">
      <c r="H71" s="9"/>
      <c r="J71" s="9"/>
    </row>
    <row r="72" spans="8:10" s="10" customFormat="1" x14ac:dyDescent="0.25">
      <c r="H72" s="9"/>
      <c r="J72" s="9"/>
    </row>
    <row r="73" spans="8:10" s="10" customFormat="1" x14ac:dyDescent="0.25">
      <c r="H73" s="9"/>
      <c r="J73" s="9"/>
    </row>
    <row r="74" spans="8:10" s="10" customFormat="1" x14ac:dyDescent="0.25">
      <c r="H74" s="9"/>
      <c r="J74" s="9"/>
    </row>
    <row r="75" spans="8:10" s="10" customFormat="1" x14ac:dyDescent="0.25">
      <c r="H75" s="9"/>
      <c r="J75" s="9"/>
    </row>
    <row r="76" spans="8:10" s="10" customFormat="1" x14ac:dyDescent="0.25">
      <c r="H76" s="9"/>
      <c r="J76" s="9"/>
    </row>
    <row r="77" spans="8:10" s="10" customFormat="1" x14ac:dyDescent="0.25">
      <c r="H77" s="9"/>
      <c r="J77" s="9"/>
    </row>
    <row r="78" spans="8:10" s="10" customFormat="1" x14ac:dyDescent="0.25">
      <c r="H78" s="9"/>
      <c r="J78" s="9"/>
    </row>
    <row r="79" spans="8:10" s="10" customFormat="1" x14ac:dyDescent="0.25">
      <c r="H79" s="9"/>
      <c r="J79" s="9"/>
    </row>
    <row r="80" spans="8:10" s="10" customFormat="1" x14ac:dyDescent="0.25">
      <c r="H80" s="9"/>
      <c r="J80" s="9"/>
    </row>
    <row r="81" spans="1:11" s="11" customFormat="1" x14ac:dyDescent="0.25">
      <c r="C81" s="12"/>
      <c r="E81" s="12"/>
      <c r="G81" s="12"/>
      <c r="I81" s="12"/>
      <c r="K81" s="12"/>
    </row>
    <row r="82" spans="1:11" x14ac:dyDescent="0.25">
      <c r="C82" s="10"/>
    </row>
    <row r="83" spans="1:11" x14ac:dyDescent="0.25">
      <c r="A83" s="13"/>
      <c r="C83" s="10"/>
    </row>
    <row r="84" spans="1:11" x14ac:dyDescent="0.25">
      <c r="C84" s="10"/>
    </row>
    <row r="85" spans="1:11" x14ac:dyDescent="0.25">
      <c r="C85" s="10"/>
    </row>
    <row r="86" spans="1:11" x14ac:dyDescent="0.25">
      <c r="C86" s="10"/>
    </row>
    <row r="87" spans="1:11" x14ac:dyDescent="0.25">
      <c r="C87" s="10"/>
    </row>
    <row r="88" spans="1:11" x14ac:dyDescent="0.25">
      <c r="C88" s="10"/>
    </row>
    <row r="89" spans="1:11" x14ac:dyDescent="0.25">
      <c r="C89" s="10"/>
    </row>
    <row r="90" spans="1:11" x14ac:dyDescent="0.25">
      <c r="C90" s="10"/>
    </row>
    <row r="91" spans="1:11" x14ac:dyDescent="0.25">
      <c r="C91" s="10"/>
    </row>
    <row r="92" spans="1:11" x14ac:dyDescent="0.25">
      <c r="C92" s="10"/>
    </row>
    <row r="93" spans="1:11" x14ac:dyDescent="0.25">
      <c r="C93" s="10"/>
    </row>
    <row r="94" spans="1:11" x14ac:dyDescent="0.25">
      <c r="C94" s="10"/>
    </row>
    <row r="95" spans="1:11" x14ac:dyDescent="0.25">
      <c r="C95" s="10"/>
    </row>
    <row r="96" spans="1:11" x14ac:dyDescent="0.25">
      <c r="C96" s="10"/>
    </row>
    <row r="97" spans="3:3" x14ac:dyDescent="0.25">
      <c r="C97" s="10"/>
    </row>
    <row r="98" spans="3:3" x14ac:dyDescent="0.25">
      <c r="C98" s="10"/>
    </row>
    <row r="99" spans="3:3" x14ac:dyDescent="0.25">
      <c r="C99" s="10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99"/>
  <sheetViews>
    <sheetView workbookViewId="0">
      <pane ySplit="3" topLeftCell="A4" activePane="bottomLeft" state="frozen"/>
      <selection activeCell="K26" activeCellId="1" sqref="K29:K30 K26"/>
      <selection pane="bottomLeft" activeCell="E4" sqref="E4:E24"/>
    </sheetView>
  </sheetViews>
  <sheetFormatPr baseColWidth="10" defaultColWidth="10.7109375" defaultRowHeight="15" x14ac:dyDescent="0.25"/>
  <cols>
    <col min="1" max="1" width="22.7109375" style="9" customWidth="1"/>
    <col min="2" max="2" width="62.28515625" style="9" customWidth="1"/>
    <col min="3" max="3" width="22.42578125" style="9" customWidth="1"/>
    <col min="4" max="4" width="37.5703125" style="9" customWidth="1"/>
    <col min="5" max="5" width="10.7109375" style="10"/>
    <col min="6" max="6" width="10.7109375" style="9" hidden="1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2" s="11" customFormat="1" x14ac:dyDescent="0.25">
      <c r="A1" s="11" t="s">
        <v>0</v>
      </c>
      <c r="E1" s="12"/>
      <c r="G1" s="12"/>
      <c r="I1" s="12"/>
    </row>
    <row r="3" spans="1:12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12" t="s">
        <v>13</v>
      </c>
    </row>
    <row r="4" spans="1:12" x14ac:dyDescent="0.25">
      <c r="A4" s="5" t="s">
        <v>706</v>
      </c>
      <c r="B4" s="5" t="s">
        <v>712</v>
      </c>
      <c r="C4" s="5" t="s">
        <v>27</v>
      </c>
      <c r="D4" s="5" t="s">
        <v>33</v>
      </c>
      <c r="E4" s="4">
        <v>850</v>
      </c>
      <c r="F4" s="5"/>
      <c r="G4" s="4" t="s">
        <v>37</v>
      </c>
      <c r="H4" s="4" t="s">
        <v>706</v>
      </c>
      <c r="I4" s="4">
        <v>300</v>
      </c>
      <c r="J4" s="4" t="s">
        <v>403</v>
      </c>
      <c r="K4" s="4">
        <f t="shared" ref="K4:K24" si="0">E4-I4</f>
        <v>550</v>
      </c>
      <c r="L4" s="5"/>
    </row>
    <row r="5" spans="1:12" x14ac:dyDescent="0.25">
      <c r="A5" s="5" t="s">
        <v>706</v>
      </c>
      <c r="B5" s="5" t="s">
        <v>713</v>
      </c>
      <c r="C5" s="5" t="s">
        <v>27</v>
      </c>
      <c r="D5" s="5" t="s">
        <v>33</v>
      </c>
      <c r="E5" s="4">
        <v>550</v>
      </c>
      <c r="F5" s="5"/>
      <c r="G5" s="4" t="s">
        <v>37</v>
      </c>
      <c r="H5" s="4" t="s">
        <v>37</v>
      </c>
      <c r="I5" s="4">
        <v>0</v>
      </c>
      <c r="J5" s="4" t="s">
        <v>37</v>
      </c>
      <c r="K5" s="4">
        <f t="shared" si="0"/>
        <v>550</v>
      </c>
      <c r="L5" s="5"/>
    </row>
    <row r="6" spans="1:12" x14ac:dyDescent="0.25">
      <c r="A6" s="5" t="s">
        <v>714</v>
      </c>
      <c r="B6" s="5" t="s">
        <v>715</v>
      </c>
      <c r="C6" s="5" t="s">
        <v>27</v>
      </c>
      <c r="D6" s="5" t="s">
        <v>33</v>
      </c>
      <c r="E6" s="4">
        <v>2450</v>
      </c>
      <c r="F6" s="5"/>
      <c r="G6" s="4" t="s">
        <v>716</v>
      </c>
      <c r="H6" s="4" t="s">
        <v>714</v>
      </c>
      <c r="I6" s="4">
        <v>661</v>
      </c>
      <c r="J6" s="4" t="s">
        <v>66</v>
      </c>
      <c r="K6" s="4">
        <f t="shared" si="0"/>
        <v>1789</v>
      </c>
      <c r="L6" s="5"/>
    </row>
    <row r="7" spans="1:12" x14ac:dyDescent="0.25">
      <c r="A7" s="5" t="s">
        <v>717</v>
      </c>
      <c r="B7" s="5" t="s">
        <v>351</v>
      </c>
      <c r="C7" s="5" t="s">
        <v>27</v>
      </c>
      <c r="D7" s="5" t="s">
        <v>33</v>
      </c>
      <c r="E7" s="4">
        <v>1750</v>
      </c>
      <c r="F7" s="5"/>
      <c r="G7" s="4" t="s">
        <v>37</v>
      </c>
      <c r="H7" s="4" t="s">
        <v>37</v>
      </c>
      <c r="I7" s="4">
        <v>0</v>
      </c>
      <c r="J7" s="4" t="s">
        <v>37</v>
      </c>
      <c r="K7" s="4">
        <f t="shared" si="0"/>
        <v>1750</v>
      </c>
      <c r="L7" s="5"/>
    </row>
    <row r="8" spans="1:12" x14ac:dyDescent="0.25">
      <c r="A8" s="5" t="s">
        <v>717</v>
      </c>
      <c r="B8" s="5" t="s">
        <v>718</v>
      </c>
      <c r="C8" s="5" t="s">
        <v>27</v>
      </c>
      <c r="D8" s="5" t="s">
        <v>33</v>
      </c>
      <c r="E8" s="4">
        <v>150</v>
      </c>
      <c r="F8" s="5"/>
      <c r="G8" s="4" t="s">
        <v>37</v>
      </c>
      <c r="H8" s="4" t="s">
        <v>37</v>
      </c>
      <c r="I8" s="4">
        <v>0</v>
      </c>
      <c r="J8" s="4" t="s">
        <v>37</v>
      </c>
      <c r="K8" s="4">
        <f t="shared" si="0"/>
        <v>150</v>
      </c>
      <c r="L8" s="5"/>
    </row>
    <row r="9" spans="1:12" x14ac:dyDescent="0.25">
      <c r="A9" s="5" t="s">
        <v>717</v>
      </c>
      <c r="B9" s="5" t="s">
        <v>719</v>
      </c>
      <c r="C9" s="5" t="s">
        <v>27</v>
      </c>
      <c r="D9" s="5" t="s">
        <v>168</v>
      </c>
      <c r="E9" s="4">
        <v>650</v>
      </c>
      <c r="F9" s="5"/>
      <c r="G9" s="4" t="s">
        <v>37</v>
      </c>
      <c r="H9" s="4" t="s">
        <v>37</v>
      </c>
      <c r="I9" s="4">
        <v>0</v>
      </c>
      <c r="J9" s="4" t="s">
        <v>37</v>
      </c>
      <c r="K9" s="4">
        <f t="shared" si="0"/>
        <v>650</v>
      </c>
      <c r="L9" s="5"/>
    </row>
    <row r="10" spans="1:12" x14ac:dyDescent="0.25">
      <c r="A10" s="5" t="s">
        <v>720</v>
      </c>
      <c r="B10" s="5" t="s">
        <v>726</v>
      </c>
      <c r="C10" s="5" t="s">
        <v>27</v>
      </c>
      <c r="D10" s="5" t="s">
        <v>33</v>
      </c>
      <c r="E10" s="4">
        <v>2450</v>
      </c>
      <c r="F10" s="5"/>
      <c r="G10" s="4" t="s">
        <v>721</v>
      </c>
      <c r="H10" s="4" t="s">
        <v>722</v>
      </c>
      <c r="I10" s="4">
        <v>350</v>
      </c>
      <c r="J10" s="4" t="s">
        <v>491</v>
      </c>
      <c r="K10" s="4">
        <f t="shared" si="0"/>
        <v>2100</v>
      </c>
      <c r="L10" s="5"/>
    </row>
    <row r="11" spans="1:12" x14ac:dyDescent="0.25">
      <c r="A11" s="5" t="s">
        <v>723</v>
      </c>
      <c r="B11" s="5" t="s">
        <v>724</v>
      </c>
      <c r="C11" s="5" t="s">
        <v>27</v>
      </c>
      <c r="D11" s="5" t="s">
        <v>33</v>
      </c>
      <c r="E11" s="4">
        <v>1650</v>
      </c>
      <c r="F11" s="5"/>
      <c r="G11" s="4" t="s">
        <v>636</v>
      </c>
      <c r="H11" s="4" t="s">
        <v>723</v>
      </c>
      <c r="I11" s="4">
        <v>0</v>
      </c>
      <c r="J11" s="4" t="s">
        <v>491</v>
      </c>
      <c r="K11" s="4">
        <f t="shared" si="0"/>
        <v>1650</v>
      </c>
      <c r="L11" s="5"/>
    </row>
    <row r="12" spans="1:12" x14ac:dyDescent="0.25">
      <c r="A12" s="5" t="s">
        <v>723</v>
      </c>
      <c r="B12" s="5" t="s">
        <v>725</v>
      </c>
      <c r="C12" s="5" t="s">
        <v>27</v>
      </c>
      <c r="D12" s="5" t="s">
        <v>33</v>
      </c>
      <c r="E12" s="4">
        <v>500</v>
      </c>
      <c r="F12" s="5"/>
      <c r="G12" s="4" t="s">
        <v>37</v>
      </c>
      <c r="H12" s="4" t="s">
        <v>37</v>
      </c>
      <c r="I12" s="4">
        <v>0</v>
      </c>
      <c r="J12" s="4" t="s">
        <v>37</v>
      </c>
      <c r="K12" s="4">
        <f t="shared" si="0"/>
        <v>500</v>
      </c>
      <c r="L12" s="5"/>
    </row>
    <row r="13" spans="1:12" x14ac:dyDescent="0.25">
      <c r="A13" s="5" t="s">
        <v>727</v>
      </c>
      <c r="B13" s="5" t="s">
        <v>728</v>
      </c>
      <c r="C13" s="5" t="s">
        <v>27</v>
      </c>
      <c r="D13" s="5" t="s">
        <v>33</v>
      </c>
      <c r="E13" s="4">
        <f>850+150</f>
        <v>1000</v>
      </c>
      <c r="F13" s="18"/>
      <c r="G13" s="4" t="s">
        <v>37</v>
      </c>
      <c r="H13" s="4" t="s">
        <v>37</v>
      </c>
      <c r="I13" s="4">
        <v>0</v>
      </c>
      <c r="J13" s="4" t="s">
        <v>37</v>
      </c>
      <c r="K13" s="4">
        <f t="shared" si="0"/>
        <v>1000</v>
      </c>
      <c r="L13" s="5"/>
    </row>
    <row r="14" spans="1:12" x14ac:dyDescent="0.25">
      <c r="A14" s="5" t="s">
        <v>727</v>
      </c>
      <c r="B14" s="5" t="s">
        <v>416</v>
      </c>
      <c r="C14" s="5" t="s">
        <v>27</v>
      </c>
      <c r="D14" s="5" t="s">
        <v>33</v>
      </c>
      <c r="E14" s="4">
        <v>550</v>
      </c>
      <c r="F14" s="18"/>
      <c r="G14" s="4" t="s">
        <v>37</v>
      </c>
      <c r="H14" s="4" t="s">
        <v>37</v>
      </c>
      <c r="I14" s="4">
        <v>0</v>
      </c>
      <c r="J14" s="4" t="s">
        <v>37</v>
      </c>
      <c r="K14" s="4">
        <f t="shared" si="0"/>
        <v>550</v>
      </c>
      <c r="L14" s="5"/>
    </row>
    <row r="15" spans="1:12" x14ac:dyDescent="0.25">
      <c r="A15" s="5" t="s">
        <v>727</v>
      </c>
      <c r="B15" s="5" t="s">
        <v>729</v>
      </c>
      <c r="C15" s="5" t="s">
        <v>27</v>
      </c>
      <c r="D15" s="5" t="s">
        <v>33</v>
      </c>
      <c r="E15" s="4">
        <v>500</v>
      </c>
      <c r="F15" s="18"/>
      <c r="G15" s="4" t="s">
        <v>37</v>
      </c>
      <c r="H15" s="4" t="s">
        <v>37</v>
      </c>
      <c r="I15" s="4">
        <v>0</v>
      </c>
      <c r="J15" s="4" t="s">
        <v>37</v>
      </c>
      <c r="K15" s="4">
        <f t="shared" si="0"/>
        <v>500</v>
      </c>
      <c r="L15" s="5"/>
    </row>
    <row r="16" spans="1:12" x14ac:dyDescent="0.25">
      <c r="A16" s="5" t="s">
        <v>730</v>
      </c>
      <c r="B16" s="5" t="s">
        <v>732</v>
      </c>
      <c r="C16" s="5" t="s">
        <v>27</v>
      </c>
      <c r="D16" s="5" t="s">
        <v>33</v>
      </c>
      <c r="E16" s="4">
        <v>1600</v>
      </c>
      <c r="F16" s="18"/>
      <c r="G16" s="4" t="s">
        <v>731</v>
      </c>
      <c r="H16" s="4" t="s">
        <v>730</v>
      </c>
      <c r="I16" s="4">
        <v>2712</v>
      </c>
      <c r="J16" s="4" t="s">
        <v>66</v>
      </c>
      <c r="K16" s="4">
        <f t="shared" si="0"/>
        <v>-1112</v>
      </c>
      <c r="L16" s="5"/>
    </row>
    <row r="17" spans="1:12" x14ac:dyDescent="0.25">
      <c r="A17" s="5" t="s">
        <v>733</v>
      </c>
      <c r="B17" s="5" t="s">
        <v>734</v>
      </c>
      <c r="C17" s="5" t="s">
        <v>27</v>
      </c>
      <c r="D17" s="5" t="s">
        <v>33</v>
      </c>
      <c r="E17" s="4">
        <v>1400</v>
      </c>
      <c r="F17" s="18"/>
      <c r="G17" s="4" t="s">
        <v>716</v>
      </c>
      <c r="H17" s="4" t="s">
        <v>709</v>
      </c>
      <c r="I17" s="4">
        <v>308</v>
      </c>
      <c r="J17" s="4" t="s">
        <v>66</v>
      </c>
      <c r="K17" s="4">
        <f t="shared" si="0"/>
        <v>1092</v>
      </c>
      <c r="L17" s="5"/>
    </row>
    <row r="18" spans="1:12" x14ac:dyDescent="0.25">
      <c r="A18" s="5" t="s">
        <v>733</v>
      </c>
      <c r="B18" s="5" t="s">
        <v>735</v>
      </c>
      <c r="C18" s="5" t="s">
        <v>27</v>
      </c>
      <c r="D18" s="5" t="s">
        <v>33</v>
      </c>
      <c r="E18" s="4">
        <v>3000</v>
      </c>
      <c r="F18" s="18"/>
      <c r="G18" s="4" t="s">
        <v>721</v>
      </c>
      <c r="H18" s="4" t="s">
        <v>709</v>
      </c>
      <c r="I18" s="4">
        <v>666</v>
      </c>
      <c r="J18" s="4" t="s">
        <v>66</v>
      </c>
      <c r="K18" s="4">
        <f t="shared" si="0"/>
        <v>2334</v>
      </c>
      <c r="L18" s="5"/>
    </row>
    <row r="19" spans="1:12" x14ac:dyDescent="0.25">
      <c r="A19" s="5" t="s">
        <v>733</v>
      </c>
      <c r="B19" s="5" t="s">
        <v>736</v>
      </c>
      <c r="C19" s="5" t="s">
        <v>27</v>
      </c>
      <c r="D19" s="5" t="s">
        <v>33</v>
      </c>
      <c r="E19" s="4">
        <v>850</v>
      </c>
      <c r="F19" s="18"/>
      <c r="G19" s="4" t="s">
        <v>37</v>
      </c>
      <c r="H19" s="4" t="s">
        <v>37</v>
      </c>
      <c r="I19" s="4">
        <v>0</v>
      </c>
      <c r="J19" s="4" t="s">
        <v>37</v>
      </c>
      <c r="K19" s="4">
        <f t="shared" si="0"/>
        <v>850</v>
      </c>
      <c r="L19" s="5"/>
    </row>
    <row r="20" spans="1:12" x14ac:dyDescent="0.25">
      <c r="A20" s="5" t="s">
        <v>710</v>
      </c>
      <c r="B20" s="5" t="s">
        <v>184</v>
      </c>
      <c r="C20" s="5" t="s">
        <v>27</v>
      </c>
      <c r="D20" s="5" t="s">
        <v>33</v>
      </c>
      <c r="E20" s="4">
        <v>650</v>
      </c>
      <c r="F20" s="18"/>
      <c r="G20" s="4" t="s">
        <v>37</v>
      </c>
      <c r="H20" s="4" t="s">
        <v>37</v>
      </c>
      <c r="I20" s="4">
        <v>300</v>
      </c>
      <c r="J20" s="4" t="s">
        <v>403</v>
      </c>
      <c r="K20" s="4">
        <f t="shared" si="0"/>
        <v>350</v>
      </c>
      <c r="L20" s="5"/>
    </row>
    <row r="21" spans="1:12" x14ac:dyDescent="0.25">
      <c r="A21" s="5" t="s">
        <v>737</v>
      </c>
      <c r="B21" s="5" t="s">
        <v>618</v>
      </c>
      <c r="C21" s="5" t="s">
        <v>27</v>
      </c>
      <c r="D21" s="5" t="s">
        <v>33</v>
      </c>
      <c r="E21" s="4">
        <v>850</v>
      </c>
      <c r="F21" s="18"/>
      <c r="G21" s="4" t="s">
        <v>37</v>
      </c>
      <c r="H21" s="4" t="s">
        <v>37</v>
      </c>
      <c r="I21" s="4">
        <v>0</v>
      </c>
      <c r="J21" s="4" t="s">
        <v>37</v>
      </c>
      <c r="K21" s="4">
        <f t="shared" si="0"/>
        <v>850</v>
      </c>
      <c r="L21" s="5"/>
    </row>
    <row r="22" spans="1:12" x14ac:dyDescent="0.25">
      <c r="A22" s="5" t="s">
        <v>737</v>
      </c>
      <c r="B22" s="5" t="s">
        <v>738</v>
      </c>
      <c r="C22" s="5" t="s">
        <v>27</v>
      </c>
      <c r="D22" s="5" t="s">
        <v>33</v>
      </c>
      <c r="E22" s="4">
        <v>500</v>
      </c>
      <c r="F22" s="18"/>
      <c r="G22" s="4" t="s">
        <v>37</v>
      </c>
      <c r="H22" s="4" t="s">
        <v>37</v>
      </c>
      <c r="I22" s="4">
        <v>0</v>
      </c>
      <c r="J22" s="4" t="s">
        <v>37</v>
      </c>
      <c r="K22" s="4">
        <f t="shared" si="0"/>
        <v>500</v>
      </c>
      <c r="L22" s="5"/>
    </row>
    <row r="23" spans="1:12" x14ac:dyDescent="0.25">
      <c r="A23" s="5" t="s">
        <v>739</v>
      </c>
      <c r="B23" s="5" t="s">
        <v>740</v>
      </c>
      <c r="C23" s="5" t="s">
        <v>27</v>
      </c>
      <c r="D23" s="5" t="s">
        <v>33</v>
      </c>
      <c r="E23" s="4">
        <v>1400</v>
      </c>
      <c r="F23" s="18"/>
      <c r="G23" s="4" t="s">
        <v>37</v>
      </c>
      <c r="H23" s="4" t="s">
        <v>37</v>
      </c>
      <c r="I23" s="4">
        <v>0</v>
      </c>
      <c r="J23" s="4" t="s">
        <v>37</v>
      </c>
      <c r="K23" s="4">
        <f t="shared" si="0"/>
        <v>1400</v>
      </c>
      <c r="L23" s="5"/>
    </row>
    <row r="24" spans="1:12" x14ac:dyDescent="0.25">
      <c r="A24" s="5" t="s">
        <v>739</v>
      </c>
      <c r="B24" s="5" t="s">
        <v>741</v>
      </c>
      <c r="C24" s="5" t="s">
        <v>27</v>
      </c>
      <c r="D24" s="5" t="s">
        <v>33</v>
      </c>
      <c r="E24" s="4">
        <v>2500</v>
      </c>
      <c r="F24" s="18"/>
      <c r="G24" s="4" t="s">
        <v>37</v>
      </c>
      <c r="H24" s="4" t="s">
        <v>37</v>
      </c>
      <c r="I24" s="4">
        <v>0</v>
      </c>
      <c r="J24" s="4" t="s">
        <v>37</v>
      </c>
      <c r="K24" s="4">
        <f t="shared" si="0"/>
        <v>2500</v>
      </c>
      <c r="L24" s="5"/>
    </row>
    <row r="25" spans="1:12" x14ac:dyDescent="0.25">
      <c r="F25" s="16"/>
      <c r="H25" s="10"/>
      <c r="J25" s="10"/>
    </row>
    <row r="26" spans="1:12" x14ac:dyDescent="0.25">
      <c r="F26" s="16"/>
      <c r="H26" s="10"/>
      <c r="J26" s="10"/>
    </row>
    <row r="27" spans="1:12" x14ac:dyDescent="0.25">
      <c r="F27" s="16"/>
      <c r="H27" s="10"/>
      <c r="J27" s="10"/>
    </row>
    <row r="28" spans="1:12" x14ac:dyDescent="0.25">
      <c r="F28" s="16"/>
      <c r="H28" s="10"/>
      <c r="J28" s="10"/>
      <c r="K28" s="10">
        <f t="shared" ref="K28:K34" si="1">E28-I28</f>
        <v>0</v>
      </c>
    </row>
    <row r="29" spans="1:12" x14ac:dyDescent="0.25">
      <c r="F29" s="16"/>
      <c r="H29" s="10"/>
      <c r="J29" s="10"/>
      <c r="K29" s="10">
        <f t="shared" si="1"/>
        <v>0</v>
      </c>
    </row>
    <row r="30" spans="1:12" x14ac:dyDescent="0.25">
      <c r="F30" s="16"/>
      <c r="H30" s="10"/>
      <c r="J30" s="10"/>
      <c r="K30" s="10">
        <f t="shared" si="1"/>
        <v>0</v>
      </c>
    </row>
    <row r="31" spans="1:12" x14ac:dyDescent="0.25">
      <c r="F31" s="16"/>
      <c r="H31" s="10"/>
      <c r="J31" s="10"/>
      <c r="K31" s="10">
        <f t="shared" si="1"/>
        <v>0</v>
      </c>
    </row>
    <row r="32" spans="1:12" x14ac:dyDescent="0.25">
      <c r="F32" s="16"/>
      <c r="H32" s="10"/>
      <c r="J32" s="10"/>
      <c r="K32" s="10">
        <f t="shared" si="1"/>
        <v>0</v>
      </c>
    </row>
    <row r="33" spans="1:11" x14ac:dyDescent="0.25">
      <c r="F33" s="16"/>
      <c r="H33" s="10"/>
      <c r="J33" s="10"/>
      <c r="K33" s="10">
        <f t="shared" si="1"/>
        <v>0</v>
      </c>
    </row>
    <row r="34" spans="1:11" x14ac:dyDescent="0.25">
      <c r="F34" s="16"/>
      <c r="H34" s="10"/>
      <c r="J34" s="10"/>
      <c r="K34" s="10">
        <f t="shared" si="1"/>
        <v>0</v>
      </c>
    </row>
    <row r="35" spans="1:11" x14ac:dyDescent="0.25">
      <c r="F35" s="16"/>
      <c r="H35" s="10"/>
      <c r="J35" s="10"/>
    </row>
    <row r="36" spans="1:11" x14ac:dyDescent="0.25">
      <c r="F36" s="16"/>
    </row>
    <row r="37" spans="1:11" s="11" customFormat="1" x14ac:dyDescent="0.25">
      <c r="A37" s="11" t="s">
        <v>705</v>
      </c>
      <c r="E37" s="12"/>
      <c r="F37" s="17"/>
      <c r="G37" s="12"/>
      <c r="I37" s="12"/>
      <c r="K37" s="12"/>
    </row>
    <row r="38" spans="1:11" x14ac:dyDescent="0.25">
      <c r="F38" s="16"/>
    </row>
    <row r="39" spans="1:11" x14ac:dyDescent="0.25">
      <c r="A39" s="21" t="s">
        <v>706</v>
      </c>
      <c r="B39" s="21" t="s">
        <v>108</v>
      </c>
      <c r="C39" s="22">
        <v>1400</v>
      </c>
      <c r="H39" s="10"/>
      <c r="J39" s="10"/>
    </row>
    <row r="40" spans="1:11" x14ac:dyDescent="0.25">
      <c r="A40" s="21" t="s">
        <v>706</v>
      </c>
      <c r="B40" s="21" t="s">
        <v>297</v>
      </c>
      <c r="C40" s="22">
        <v>1500</v>
      </c>
      <c r="F40" s="16"/>
    </row>
    <row r="41" spans="1:11" x14ac:dyDescent="0.25">
      <c r="A41" s="21" t="s">
        <v>707</v>
      </c>
      <c r="B41" s="21" t="s">
        <v>108</v>
      </c>
      <c r="C41" s="22">
        <v>1400</v>
      </c>
      <c r="F41" s="16"/>
    </row>
    <row r="42" spans="1:11" x14ac:dyDescent="0.25">
      <c r="A42" s="21" t="s">
        <v>707</v>
      </c>
      <c r="B42" s="21" t="s">
        <v>297</v>
      </c>
      <c r="C42" s="22">
        <v>1500</v>
      </c>
      <c r="F42" s="16"/>
    </row>
    <row r="43" spans="1:11" s="10" customFormat="1" x14ac:dyDescent="0.25">
      <c r="A43" s="21" t="s">
        <v>708</v>
      </c>
      <c r="B43" s="21" t="s">
        <v>297</v>
      </c>
      <c r="C43" s="22">
        <v>1500</v>
      </c>
      <c r="D43" s="9"/>
      <c r="F43" s="16"/>
      <c r="H43" s="9"/>
      <c r="J43" s="9"/>
    </row>
    <row r="44" spans="1:11" s="10" customFormat="1" x14ac:dyDescent="0.25">
      <c r="A44" s="21" t="s">
        <v>708</v>
      </c>
      <c r="B44" s="21" t="s">
        <v>108</v>
      </c>
      <c r="C44" s="22">
        <v>1400</v>
      </c>
      <c r="D44" s="9"/>
      <c r="F44" s="16"/>
      <c r="H44" s="9"/>
      <c r="J44" s="9"/>
    </row>
    <row r="45" spans="1:11" s="10" customFormat="1" x14ac:dyDescent="0.25">
      <c r="A45" s="21" t="s">
        <v>709</v>
      </c>
      <c r="B45" s="21" t="s">
        <v>206</v>
      </c>
      <c r="C45" s="22">
        <v>6000</v>
      </c>
      <c r="D45" s="9"/>
      <c r="F45" s="9"/>
      <c r="H45" s="9"/>
      <c r="J45" s="9"/>
    </row>
    <row r="46" spans="1:11" s="10" customFormat="1" x14ac:dyDescent="0.25">
      <c r="A46" s="19" t="s">
        <v>709</v>
      </c>
      <c r="B46" s="19" t="s">
        <v>648</v>
      </c>
      <c r="C46" s="20">
        <v>1000</v>
      </c>
      <c r="D46" s="9"/>
      <c r="F46" s="9"/>
      <c r="H46" s="9"/>
      <c r="J46" s="9"/>
    </row>
    <row r="47" spans="1:11" s="10" customFormat="1" x14ac:dyDescent="0.25">
      <c r="A47" s="21" t="s">
        <v>710</v>
      </c>
      <c r="B47" s="21" t="s">
        <v>108</v>
      </c>
      <c r="C47" s="22">
        <v>1400</v>
      </c>
      <c r="D47" s="9"/>
      <c r="F47" s="16"/>
      <c r="H47" s="9"/>
      <c r="J47" s="9"/>
    </row>
    <row r="48" spans="1:11" s="10" customFormat="1" x14ac:dyDescent="0.25">
      <c r="A48" s="21" t="s">
        <v>710</v>
      </c>
      <c r="B48" s="21" t="s">
        <v>297</v>
      </c>
      <c r="C48" s="22">
        <v>1500</v>
      </c>
      <c r="D48" s="9"/>
      <c r="F48" s="16"/>
      <c r="H48" s="9"/>
      <c r="J48" s="9"/>
    </row>
    <row r="49" spans="1:10" s="10" customFormat="1" x14ac:dyDescent="0.25">
      <c r="A49" s="21" t="s">
        <v>711</v>
      </c>
      <c r="B49" s="21" t="s">
        <v>398</v>
      </c>
      <c r="C49" s="22">
        <v>3000</v>
      </c>
      <c r="D49" s="9"/>
      <c r="F49" s="9"/>
      <c r="H49" s="9"/>
      <c r="J49" s="9"/>
    </row>
    <row r="50" spans="1:10" s="10" customFormat="1" x14ac:dyDescent="0.25">
      <c r="A50" s="21" t="s">
        <v>677</v>
      </c>
      <c r="B50" s="21" t="s">
        <v>574</v>
      </c>
      <c r="C50" s="22">
        <v>500</v>
      </c>
      <c r="D50" s="9"/>
      <c r="F50" s="9"/>
      <c r="H50" s="9"/>
      <c r="J50" s="9"/>
    </row>
    <row r="51" spans="1:10" s="10" customFormat="1" x14ac:dyDescent="0.25">
      <c r="A51" s="21" t="s">
        <v>677</v>
      </c>
      <c r="B51" s="5" t="s">
        <v>72</v>
      </c>
      <c r="C51" s="4">
        <v>550</v>
      </c>
      <c r="D51" s="9"/>
      <c r="F51" s="9"/>
      <c r="H51" s="9"/>
      <c r="J51" s="9"/>
    </row>
    <row r="52" spans="1:10" s="10" customFormat="1" x14ac:dyDescent="0.25">
      <c r="A52" s="9" t="s">
        <v>677</v>
      </c>
      <c r="B52" s="9" t="s">
        <v>87</v>
      </c>
      <c r="C52" s="10">
        <v>3000</v>
      </c>
      <c r="D52" s="9"/>
      <c r="F52" s="9"/>
      <c r="H52" s="9"/>
      <c r="J52" s="9"/>
    </row>
    <row r="53" spans="1:10" s="10" customFormat="1" x14ac:dyDescent="0.25">
      <c r="A53" s="9"/>
      <c r="B53" s="9"/>
      <c r="D53" s="9"/>
      <c r="F53" s="9"/>
      <c r="H53" s="9"/>
      <c r="J53" s="9"/>
    </row>
    <row r="54" spans="1:10" s="10" customFormat="1" x14ac:dyDescent="0.25">
      <c r="A54" s="9"/>
      <c r="B54" s="9"/>
      <c r="D54" s="9"/>
      <c r="F54" s="9"/>
      <c r="H54" s="9"/>
      <c r="J54" s="9"/>
    </row>
    <row r="55" spans="1:10" s="10" customFormat="1" x14ac:dyDescent="0.25">
      <c r="A55" s="9"/>
      <c r="B55" s="9"/>
      <c r="D55" s="9"/>
      <c r="F55" s="9"/>
    </row>
    <row r="56" spans="1:10" s="10" customFormat="1" x14ac:dyDescent="0.25">
      <c r="A56" s="9"/>
      <c r="B56" s="9"/>
      <c r="D56" s="9"/>
      <c r="F56" s="9"/>
    </row>
    <row r="57" spans="1:10" s="10" customFormat="1" x14ac:dyDescent="0.25">
      <c r="A57" s="9"/>
      <c r="B57" s="9"/>
      <c r="D57" s="9"/>
      <c r="F57" s="9"/>
    </row>
    <row r="58" spans="1:10" s="10" customFormat="1" x14ac:dyDescent="0.25">
      <c r="A58" s="9"/>
      <c r="B58" s="9"/>
      <c r="D58" s="9"/>
      <c r="F58" s="9"/>
    </row>
    <row r="59" spans="1:10" s="10" customFormat="1" x14ac:dyDescent="0.25">
      <c r="A59" s="9"/>
      <c r="B59" s="9"/>
      <c r="C59" s="9"/>
      <c r="D59" s="9"/>
      <c r="F59" s="9"/>
    </row>
    <row r="60" spans="1:10" s="10" customFormat="1" x14ac:dyDescent="0.25"/>
    <row r="61" spans="1:10" s="10" customFormat="1" x14ac:dyDescent="0.25"/>
    <row r="62" spans="1:10" s="10" customFormat="1" x14ac:dyDescent="0.25"/>
    <row r="63" spans="1:10" s="10" customFormat="1" x14ac:dyDescent="0.25"/>
    <row r="64" spans="1:10" s="10" customFormat="1" x14ac:dyDescent="0.25"/>
    <row r="65" spans="8:10" s="10" customFormat="1" x14ac:dyDescent="0.25"/>
    <row r="66" spans="8:10" s="10" customFormat="1" x14ac:dyDescent="0.25"/>
    <row r="67" spans="8:10" s="10" customFormat="1" x14ac:dyDescent="0.25">
      <c r="H67" s="9"/>
      <c r="J67" s="9"/>
    </row>
    <row r="68" spans="8:10" s="10" customFormat="1" x14ac:dyDescent="0.25">
      <c r="H68" s="9"/>
      <c r="J68" s="9"/>
    </row>
    <row r="69" spans="8:10" s="10" customFormat="1" x14ac:dyDescent="0.25">
      <c r="H69" s="9"/>
      <c r="J69" s="9"/>
    </row>
    <row r="70" spans="8:10" s="10" customFormat="1" x14ac:dyDescent="0.25">
      <c r="H70" s="9"/>
      <c r="J70" s="9"/>
    </row>
    <row r="71" spans="8:10" s="10" customFormat="1" x14ac:dyDescent="0.25">
      <c r="H71" s="9"/>
      <c r="J71" s="9"/>
    </row>
    <row r="72" spans="8:10" s="10" customFormat="1" x14ac:dyDescent="0.25">
      <c r="H72" s="9"/>
      <c r="J72" s="9"/>
    </row>
    <row r="73" spans="8:10" s="10" customFormat="1" x14ac:dyDescent="0.25">
      <c r="H73" s="9"/>
      <c r="J73" s="9"/>
    </row>
    <row r="74" spans="8:10" s="10" customFormat="1" x14ac:dyDescent="0.25">
      <c r="H74" s="9"/>
      <c r="J74" s="9"/>
    </row>
    <row r="75" spans="8:10" s="10" customFormat="1" x14ac:dyDescent="0.25">
      <c r="H75" s="9"/>
      <c r="J75" s="9"/>
    </row>
    <row r="76" spans="8:10" s="10" customFormat="1" x14ac:dyDescent="0.25">
      <c r="H76" s="9"/>
      <c r="J76" s="9"/>
    </row>
    <row r="77" spans="8:10" s="10" customFormat="1" x14ac:dyDescent="0.25">
      <c r="H77" s="9"/>
      <c r="J77" s="9"/>
    </row>
    <row r="78" spans="8:10" s="10" customFormat="1" x14ac:dyDescent="0.25">
      <c r="H78" s="9"/>
      <c r="J78" s="9"/>
    </row>
    <row r="79" spans="8:10" s="10" customFormat="1" x14ac:dyDescent="0.25">
      <c r="H79" s="9"/>
      <c r="J79" s="9"/>
    </row>
    <row r="80" spans="8:10" s="10" customFormat="1" x14ac:dyDescent="0.25">
      <c r="H80" s="9"/>
      <c r="J80" s="9"/>
    </row>
    <row r="81" spans="1:11" s="11" customFormat="1" x14ac:dyDescent="0.25">
      <c r="C81" s="12"/>
      <c r="E81" s="12"/>
      <c r="G81" s="12"/>
      <c r="I81" s="12"/>
      <c r="K81" s="12"/>
    </row>
    <row r="82" spans="1:11" x14ac:dyDescent="0.25">
      <c r="C82" s="10"/>
    </row>
    <row r="83" spans="1:11" x14ac:dyDescent="0.25">
      <c r="A83" s="13"/>
      <c r="C83" s="10"/>
    </row>
    <row r="84" spans="1:11" x14ac:dyDescent="0.25">
      <c r="C84" s="10"/>
    </row>
    <row r="85" spans="1:11" x14ac:dyDescent="0.25">
      <c r="C85" s="10"/>
    </row>
    <row r="86" spans="1:11" x14ac:dyDescent="0.25">
      <c r="C86" s="10"/>
    </row>
    <row r="87" spans="1:11" x14ac:dyDescent="0.25">
      <c r="C87" s="10"/>
    </row>
    <row r="88" spans="1:11" x14ac:dyDescent="0.25">
      <c r="C88" s="10"/>
    </row>
    <row r="89" spans="1:11" x14ac:dyDescent="0.25">
      <c r="C89" s="10"/>
    </row>
    <row r="90" spans="1:11" x14ac:dyDescent="0.25">
      <c r="C90" s="10"/>
    </row>
    <row r="91" spans="1:11" x14ac:dyDescent="0.25">
      <c r="C91" s="10"/>
    </row>
    <row r="92" spans="1:11" x14ac:dyDescent="0.25">
      <c r="C92" s="10"/>
    </row>
    <row r="93" spans="1:11" x14ac:dyDescent="0.25">
      <c r="C93" s="10"/>
    </row>
    <row r="94" spans="1:11" x14ac:dyDescent="0.25">
      <c r="C94" s="10"/>
    </row>
    <row r="95" spans="1:11" x14ac:dyDescent="0.25">
      <c r="C95" s="10"/>
    </row>
    <row r="96" spans="1:11" x14ac:dyDescent="0.25">
      <c r="C96" s="10"/>
    </row>
    <row r="97" spans="3:3" x14ac:dyDescent="0.25">
      <c r="C97" s="10"/>
    </row>
    <row r="98" spans="3:3" x14ac:dyDescent="0.25">
      <c r="C98" s="10"/>
    </row>
    <row r="99" spans="3:3" x14ac:dyDescent="0.25">
      <c r="C99" s="10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92"/>
  <sheetViews>
    <sheetView workbookViewId="0">
      <pane ySplit="3" topLeftCell="A4" activePane="bottomLeft" state="frozen"/>
      <selection activeCell="K26" activeCellId="1" sqref="K29:K30 K26"/>
      <selection pane="bottomLeft" activeCell="E4" sqref="E4:E21"/>
    </sheetView>
  </sheetViews>
  <sheetFormatPr baseColWidth="10" defaultColWidth="10.7109375" defaultRowHeight="15" x14ac:dyDescent="0.25"/>
  <cols>
    <col min="1" max="1" width="22.7109375" style="9" customWidth="1"/>
    <col min="2" max="2" width="62.28515625" style="9" customWidth="1"/>
    <col min="3" max="3" width="22.42578125" style="9" customWidth="1"/>
    <col min="4" max="4" width="37.5703125" style="9" customWidth="1"/>
    <col min="5" max="5" width="10.7109375" style="10"/>
    <col min="6" max="6" width="10.7109375" style="9" hidden="1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2" s="11" customFormat="1" x14ac:dyDescent="0.25">
      <c r="A1" s="11" t="s">
        <v>0</v>
      </c>
      <c r="E1" s="12"/>
      <c r="G1" s="12"/>
      <c r="I1" s="12"/>
    </row>
    <row r="3" spans="1:12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12" t="s">
        <v>13</v>
      </c>
    </row>
    <row r="4" spans="1:12" x14ac:dyDescent="0.25">
      <c r="A4" s="5" t="s">
        <v>746</v>
      </c>
      <c r="B4" s="5" t="s">
        <v>747</v>
      </c>
      <c r="C4" s="5" t="s">
        <v>16</v>
      </c>
      <c r="D4" s="5" t="s">
        <v>563</v>
      </c>
      <c r="E4" s="4">
        <v>350</v>
      </c>
      <c r="F4" s="5"/>
      <c r="G4" s="4" t="s">
        <v>37</v>
      </c>
      <c r="H4" s="4" t="s">
        <v>37</v>
      </c>
      <c r="I4" s="4">
        <v>0</v>
      </c>
      <c r="J4" s="4" t="s">
        <v>37</v>
      </c>
      <c r="K4" s="4">
        <f t="shared" ref="K4:K6" si="0">E4-I4</f>
        <v>350</v>
      </c>
      <c r="L4" s="5"/>
    </row>
    <row r="5" spans="1:12" x14ac:dyDescent="0.25">
      <c r="A5" s="5" t="s">
        <v>748</v>
      </c>
      <c r="B5" s="5" t="s">
        <v>749</v>
      </c>
      <c r="C5" s="5" t="s">
        <v>27</v>
      </c>
      <c r="D5" s="5" t="s">
        <v>33</v>
      </c>
      <c r="E5" s="4">
        <v>800</v>
      </c>
      <c r="F5" s="5"/>
      <c r="G5" s="4" t="s">
        <v>37</v>
      </c>
      <c r="H5" s="4" t="s">
        <v>37</v>
      </c>
      <c r="I5" s="4">
        <v>0</v>
      </c>
      <c r="J5" s="4" t="s">
        <v>37</v>
      </c>
      <c r="K5" s="4">
        <f t="shared" si="0"/>
        <v>800</v>
      </c>
      <c r="L5" s="5"/>
    </row>
    <row r="6" spans="1:12" x14ac:dyDescent="0.25">
      <c r="A6" s="5" t="s">
        <v>750</v>
      </c>
      <c r="B6" s="5" t="s">
        <v>751</v>
      </c>
      <c r="C6" s="5" t="s">
        <v>27</v>
      </c>
      <c r="D6" s="5" t="s">
        <v>33</v>
      </c>
      <c r="E6" s="4">
        <f>1750+5500</f>
        <v>7250</v>
      </c>
      <c r="F6" s="5"/>
      <c r="G6" s="4" t="s">
        <v>752</v>
      </c>
      <c r="H6" s="4" t="s">
        <v>748</v>
      </c>
      <c r="I6" s="4">
        <f>1400+1000+2500</f>
        <v>4900</v>
      </c>
      <c r="J6" s="4" t="s">
        <v>37</v>
      </c>
      <c r="K6" s="4">
        <f t="shared" si="0"/>
        <v>2350</v>
      </c>
      <c r="L6" s="5"/>
    </row>
    <row r="7" spans="1:12" x14ac:dyDescent="0.25">
      <c r="A7" s="5" t="s">
        <v>742</v>
      </c>
      <c r="B7" s="5" t="s">
        <v>754</v>
      </c>
      <c r="C7" s="5" t="s">
        <v>27</v>
      </c>
      <c r="D7" s="5" t="s">
        <v>33</v>
      </c>
      <c r="E7" s="4">
        <v>2250</v>
      </c>
      <c r="F7" s="5"/>
      <c r="G7" s="4" t="s">
        <v>246</v>
      </c>
      <c r="H7" s="4" t="s">
        <v>750</v>
      </c>
      <c r="I7" s="4">
        <v>800</v>
      </c>
      <c r="J7" s="5" t="s">
        <v>65</v>
      </c>
      <c r="K7" s="4">
        <f t="shared" ref="K7:K18" si="1">E7-I7</f>
        <v>1450</v>
      </c>
      <c r="L7" s="5"/>
    </row>
    <row r="8" spans="1:12" x14ac:dyDescent="0.25">
      <c r="A8" s="5" t="s">
        <v>755</v>
      </c>
      <c r="B8" s="5" t="s">
        <v>756</v>
      </c>
      <c r="C8" s="5" t="s">
        <v>27</v>
      </c>
      <c r="D8" s="5" t="s">
        <v>33</v>
      </c>
      <c r="E8" s="4">
        <f>850+550</f>
        <v>1400</v>
      </c>
      <c r="F8" s="5"/>
      <c r="G8" s="4" t="s">
        <v>37</v>
      </c>
      <c r="H8" s="4" t="s">
        <v>37</v>
      </c>
      <c r="I8" s="4">
        <v>0</v>
      </c>
      <c r="J8" s="4" t="s">
        <v>37</v>
      </c>
      <c r="K8" s="4">
        <f t="shared" si="1"/>
        <v>1400</v>
      </c>
      <c r="L8" s="5"/>
    </row>
    <row r="9" spans="1:12" x14ac:dyDescent="0.25">
      <c r="A9" s="5" t="s">
        <v>755</v>
      </c>
      <c r="B9" s="5" t="s">
        <v>757</v>
      </c>
      <c r="C9" s="5" t="s">
        <v>27</v>
      </c>
      <c r="D9" s="5" t="s">
        <v>527</v>
      </c>
      <c r="E9" s="4">
        <v>700</v>
      </c>
      <c r="F9" s="5"/>
      <c r="G9" s="4" t="s">
        <v>37</v>
      </c>
      <c r="H9" s="4" t="s">
        <v>37</v>
      </c>
      <c r="I9" s="4">
        <v>0</v>
      </c>
      <c r="J9" s="4" t="s">
        <v>37</v>
      </c>
      <c r="K9" s="4">
        <f t="shared" si="1"/>
        <v>700</v>
      </c>
      <c r="L9" s="5"/>
    </row>
    <row r="10" spans="1:12" x14ac:dyDescent="0.25">
      <c r="A10" s="5" t="s">
        <v>758</v>
      </c>
      <c r="B10" s="5" t="s">
        <v>759</v>
      </c>
      <c r="C10" s="5" t="s">
        <v>27</v>
      </c>
      <c r="D10" s="5" t="s">
        <v>760</v>
      </c>
      <c r="E10" s="4">
        <v>3350</v>
      </c>
      <c r="F10" s="5"/>
      <c r="G10" s="4" t="s">
        <v>131</v>
      </c>
      <c r="H10" s="4" t="s">
        <v>378</v>
      </c>
      <c r="I10" s="4">
        <v>500</v>
      </c>
      <c r="J10" s="4" t="s">
        <v>426</v>
      </c>
      <c r="K10" s="4">
        <f t="shared" si="1"/>
        <v>2850</v>
      </c>
      <c r="L10" s="5"/>
    </row>
    <row r="11" spans="1:12" x14ac:dyDescent="0.25">
      <c r="A11" s="5" t="s">
        <v>761</v>
      </c>
      <c r="B11" s="5" t="s">
        <v>762</v>
      </c>
      <c r="C11" s="5" t="s">
        <v>27</v>
      </c>
      <c r="D11" s="5" t="s">
        <v>780</v>
      </c>
      <c r="E11" s="4">
        <v>3500</v>
      </c>
      <c r="F11" s="5"/>
      <c r="G11" s="4" t="s">
        <v>763</v>
      </c>
      <c r="H11" s="4" t="s">
        <v>761</v>
      </c>
      <c r="I11" s="4">
        <v>1150</v>
      </c>
      <c r="J11" s="4" t="s">
        <v>426</v>
      </c>
      <c r="K11" s="4">
        <f t="shared" si="1"/>
        <v>2350</v>
      </c>
      <c r="L11" s="5"/>
    </row>
    <row r="12" spans="1:12" x14ac:dyDescent="0.25">
      <c r="A12" s="5" t="s">
        <v>761</v>
      </c>
      <c r="B12" s="5" t="s">
        <v>718</v>
      </c>
      <c r="C12" s="5" t="s">
        <v>27</v>
      </c>
      <c r="D12" s="5" t="s">
        <v>33</v>
      </c>
      <c r="E12" s="4">
        <v>600</v>
      </c>
      <c r="F12" s="5"/>
      <c r="G12" s="4" t="s">
        <v>37</v>
      </c>
      <c r="H12" s="4" t="s">
        <v>37</v>
      </c>
      <c r="I12" s="4">
        <v>0</v>
      </c>
      <c r="J12" s="4" t="s">
        <v>37</v>
      </c>
      <c r="K12" s="4">
        <f t="shared" si="1"/>
        <v>600</v>
      </c>
      <c r="L12" s="5"/>
    </row>
    <row r="13" spans="1:12" x14ac:dyDescent="0.25">
      <c r="A13" s="5" t="s">
        <v>764</v>
      </c>
      <c r="B13" s="5" t="s">
        <v>765</v>
      </c>
      <c r="C13" s="5" t="s">
        <v>27</v>
      </c>
      <c r="D13" s="5" t="s">
        <v>33</v>
      </c>
      <c r="E13" s="4">
        <v>500</v>
      </c>
      <c r="F13" s="18"/>
      <c r="G13" s="4" t="s">
        <v>37</v>
      </c>
      <c r="H13" s="4" t="s">
        <v>37</v>
      </c>
      <c r="I13" s="4">
        <v>300</v>
      </c>
      <c r="J13" s="4" t="s">
        <v>403</v>
      </c>
      <c r="K13" s="4">
        <f t="shared" si="1"/>
        <v>200</v>
      </c>
      <c r="L13" s="5"/>
    </row>
    <row r="14" spans="1:12" x14ac:dyDescent="0.25">
      <c r="A14" s="5" t="s">
        <v>766</v>
      </c>
      <c r="B14" s="5" t="s">
        <v>767</v>
      </c>
      <c r="C14" s="5" t="s">
        <v>27</v>
      </c>
      <c r="D14" s="5" t="s">
        <v>33</v>
      </c>
      <c r="E14" s="4">
        <v>650</v>
      </c>
      <c r="F14" s="18"/>
      <c r="G14" s="4" t="s">
        <v>37</v>
      </c>
      <c r="H14" s="4" t="s">
        <v>37</v>
      </c>
      <c r="I14" s="4">
        <v>0</v>
      </c>
      <c r="J14" s="4" t="s">
        <v>37</v>
      </c>
      <c r="K14" s="4">
        <f t="shared" si="1"/>
        <v>650</v>
      </c>
      <c r="L14" s="5"/>
    </row>
    <row r="15" spans="1:12" x14ac:dyDescent="0.25">
      <c r="A15" s="5" t="s">
        <v>766</v>
      </c>
      <c r="B15" s="5" t="s">
        <v>768</v>
      </c>
      <c r="C15" s="5" t="s">
        <v>27</v>
      </c>
      <c r="D15" s="5" t="s">
        <v>769</v>
      </c>
      <c r="E15" s="4">
        <v>2100</v>
      </c>
      <c r="F15" s="18"/>
      <c r="G15" s="4" t="s">
        <v>770</v>
      </c>
      <c r="H15" s="4" t="s">
        <v>491</v>
      </c>
      <c r="I15" s="4">
        <v>400</v>
      </c>
      <c r="J15" s="4" t="s">
        <v>37</v>
      </c>
      <c r="K15" s="4">
        <f t="shared" si="1"/>
        <v>1700</v>
      </c>
      <c r="L15" s="5"/>
    </row>
    <row r="16" spans="1:12" x14ac:dyDescent="0.25">
      <c r="A16" s="5" t="s">
        <v>744</v>
      </c>
      <c r="B16" s="5" t="s">
        <v>771</v>
      </c>
      <c r="C16" s="5" t="s">
        <v>27</v>
      </c>
      <c r="D16" s="5" t="s">
        <v>33</v>
      </c>
      <c r="E16" s="4">
        <v>650</v>
      </c>
      <c r="F16" s="18"/>
      <c r="G16" s="4" t="s">
        <v>37</v>
      </c>
      <c r="H16" s="4" t="s">
        <v>37</v>
      </c>
      <c r="I16" s="4">
        <v>0</v>
      </c>
      <c r="J16" s="4" t="s">
        <v>37</v>
      </c>
      <c r="K16" s="4">
        <f t="shared" si="1"/>
        <v>650</v>
      </c>
      <c r="L16" s="5"/>
    </row>
    <row r="17" spans="1:12" x14ac:dyDescent="0.25">
      <c r="A17" s="5" t="s">
        <v>744</v>
      </c>
      <c r="B17" s="5" t="s">
        <v>718</v>
      </c>
      <c r="C17" s="5" t="s">
        <v>27</v>
      </c>
      <c r="D17" s="5" t="s">
        <v>33</v>
      </c>
      <c r="E17" s="4">
        <f>350*4</f>
        <v>1400</v>
      </c>
      <c r="F17" s="18"/>
      <c r="G17" s="4" t="s">
        <v>37</v>
      </c>
      <c r="H17" s="4" t="s">
        <v>37</v>
      </c>
      <c r="I17" s="4">
        <v>0</v>
      </c>
      <c r="J17" s="4" t="s">
        <v>37</v>
      </c>
      <c r="K17" s="4">
        <f t="shared" si="1"/>
        <v>1400</v>
      </c>
      <c r="L17" s="5"/>
    </row>
    <row r="18" spans="1:12" x14ac:dyDescent="0.25">
      <c r="A18" s="5" t="s">
        <v>772</v>
      </c>
      <c r="B18" s="5" t="s">
        <v>773</v>
      </c>
      <c r="C18" s="5" t="s">
        <v>27</v>
      </c>
      <c r="D18" s="5" t="s">
        <v>527</v>
      </c>
      <c r="E18" s="4">
        <v>1750</v>
      </c>
      <c r="F18" s="18"/>
      <c r="G18" s="4" t="s">
        <v>37</v>
      </c>
      <c r="H18" s="4" t="s">
        <v>37</v>
      </c>
      <c r="I18" s="4">
        <v>0</v>
      </c>
      <c r="J18" s="4" t="s">
        <v>37</v>
      </c>
      <c r="K18" s="4">
        <f t="shared" si="1"/>
        <v>1750</v>
      </c>
      <c r="L18" s="5"/>
    </row>
    <row r="19" spans="1:12" x14ac:dyDescent="0.25">
      <c r="A19" s="5" t="s">
        <v>774</v>
      </c>
      <c r="B19" s="5" t="s">
        <v>775</v>
      </c>
      <c r="C19" s="5" t="s">
        <v>27</v>
      </c>
      <c r="D19" s="5" t="s">
        <v>33</v>
      </c>
      <c r="E19" s="4">
        <v>600</v>
      </c>
      <c r="F19" s="18"/>
      <c r="G19" s="4" t="s">
        <v>37</v>
      </c>
      <c r="H19" s="4" t="s">
        <v>37</v>
      </c>
      <c r="I19" s="4">
        <v>0</v>
      </c>
      <c r="J19" s="4" t="s">
        <v>37</v>
      </c>
      <c r="K19" s="4">
        <f t="shared" ref="K19:K21" si="2">E19-I19</f>
        <v>600</v>
      </c>
      <c r="L19" s="5"/>
    </row>
    <row r="20" spans="1:12" x14ac:dyDescent="0.25">
      <c r="A20" s="5" t="s">
        <v>774</v>
      </c>
      <c r="B20" s="5" t="s">
        <v>776</v>
      </c>
      <c r="C20" s="5" t="s">
        <v>27</v>
      </c>
      <c r="D20" s="5" t="s">
        <v>33</v>
      </c>
      <c r="E20" s="4">
        <v>2100</v>
      </c>
      <c r="F20" s="18"/>
      <c r="G20" s="4" t="s">
        <v>131</v>
      </c>
      <c r="H20" s="4" t="s">
        <v>777</v>
      </c>
      <c r="I20" s="4">
        <v>600</v>
      </c>
      <c r="J20" s="4" t="s">
        <v>37</v>
      </c>
      <c r="K20" s="4">
        <f t="shared" si="2"/>
        <v>1500</v>
      </c>
      <c r="L20" s="5"/>
    </row>
    <row r="21" spans="1:12" x14ac:dyDescent="0.25">
      <c r="A21" s="5" t="s">
        <v>774</v>
      </c>
      <c r="B21" s="5" t="s">
        <v>778</v>
      </c>
      <c r="C21" s="5" t="s">
        <v>27</v>
      </c>
      <c r="D21" s="5" t="s">
        <v>779</v>
      </c>
      <c r="E21" s="4">
        <v>1750</v>
      </c>
      <c r="F21" s="18"/>
      <c r="G21" s="4" t="s">
        <v>37</v>
      </c>
      <c r="H21" s="4" t="s">
        <v>37</v>
      </c>
      <c r="I21" s="4">
        <v>0</v>
      </c>
      <c r="J21" s="4" t="s">
        <v>37</v>
      </c>
      <c r="K21" s="4">
        <f t="shared" si="2"/>
        <v>1750</v>
      </c>
      <c r="L21" s="5"/>
    </row>
    <row r="22" spans="1:12" x14ac:dyDescent="0.25">
      <c r="F22" s="16"/>
      <c r="H22" s="10"/>
      <c r="J22" s="10"/>
    </row>
    <row r="23" spans="1:12" x14ac:dyDescent="0.25">
      <c r="F23" s="16"/>
      <c r="H23" s="10"/>
      <c r="J23" s="10"/>
    </row>
    <row r="24" spans="1:12" x14ac:dyDescent="0.25">
      <c r="F24" s="16"/>
      <c r="H24" s="10"/>
      <c r="J24" s="10"/>
    </row>
    <row r="25" spans="1:12" x14ac:dyDescent="0.25">
      <c r="F25" s="16"/>
      <c r="H25" s="10"/>
      <c r="J25" s="10"/>
    </row>
    <row r="26" spans="1:12" x14ac:dyDescent="0.25">
      <c r="F26" s="16"/>
      <c r="H26" s="10"/>
      <c r="J26" s="10"/>
    </row>
    <row r="27" spans="1:12" x14ac:dyDescent="0.25">
      <c r="F27" s="16"/>
      <c r="H27" s="10"/>
      <c r="J27" s="10"/>
    </row>
    <row r="28" spans="1:12" x14ac:dyDescent="0.25">
      <c r="F28" s="16"/>
      <c r="H28" s="10"/>
      <c r="J28" s="10"/>
    </row>
    <row r="29" spans="1:12" x14ac:dyDescent="0.25">
      <c r="F29" s="16"/>
    </row>
    <row r="30" spans="1:12" s="11" customFormat="1" x14ac:dyDescent="0.25">
      <c r="A30" s="11" t="s">
        <v>753</v>
      </c>
      <c r="E30" s="12"/>
      <c r="F30" s="17"/>
      <c r="G30" s="12"/>
      <c r="I30" s="12"/>
      <c r="K30" s="12"/>
    </row>
    <row r="31" spans="1:12" x14ac:dyDescent="0.25">
      <c r="F31" s="16"/>
    </row>
    <row r="32" spans="1:12" x14ac:dyDescent="0.25">
      <c r="A32" s="21" t="s">
        <v>742</v>
      </c>
      <c r="B32" s="21" t="s">
        <v>108</v>
      </c>
      <c r="C32" s="22">
        <v>1400</v>
      </c>
      <c r="H32" s="10"/>
      <c r="J32" s="10"/>
    </row>
    <row r="33" spans="1:10" x14ac:dyDescent="0.25">
      <c r="A33" s="21" t="s">
        <v>742</v>
      </c>
      <c r="B33" s="21" t="s">
        <v>297</v>
      </c>
      <c r="C33" s="22">
        <v>1500</v>
      </c>
      <c r="F33" s="16"/>
    </row>
    <row r="34" spans="1:10" x14ac:dyDescent="0.25">
      <c r="A34" s="21" t="s">
        <v>743</v>
      </c>
      <c r="B34" s="21" t="s">
        <v>108</v>
      </c>
      <c r="C34" s="22">
        <v>1400</v>
      </c>
      <c r="F34" s="16"/>
    </row>
    <row r="35" spans="1:10" x14ac:dyDescent="0.25">
      <c r="A35" s="21" t="s">
        <v>743</v>
      </c>
      <c r="B35" s="21" t="s">
        <v>297</v>
      </c>
      <c r="C35" s="22">
        <v>1500</v>
      </c>
      <c r="F35" s="16"/>
    </row>
    <row r="36" spans="1:10" s="10" customFormat="1" x14ac:dyDescent="0.25">
      <c r="A36" s="21" t="s">
        <v>744</v>
      </c>
      <c r="B36" s="21" t="s">
        <v>297</v>
      </c>
      <c r="C36" s="22">
        <v>1500</v>
      </c>
      <c r="D36" s="9"/>
      <c r="F36" s="16"/>
      <c r="H36" s="9"/>
      <c r="J36" s="9"/>
    </row>
    <row r="37" spans="1:10" s="10" customFormat="1" x14ac:dyDescent="0.25">
      <c r="A37" s="21" t="s">
        <v>744</v>
      </c>
      <c r="B37" s="21" t="s">
        <v>108</v>
      </c>
      <c r="C37" s="22">
        <v>1400</v>
      </c>
      <c r="D37" s="9"/>
      <c r="F37" s="16"/>
      <c r="H37" s="9"/>
      <c r="J37" s="9"/>
    </row>
    <row r="38" spans="1:10" s="10" customFormat="1" x14ac:dyDescent="0.25">
      <c r="A38" s="21" t="s">
        <v>709</v>
      </c>
      <c r="B38" s="21" t="s">
        <v>206</v>
      </c>
      <c r="C38" s="22">
        <v>6000</v>
      </c>
      <c r="D38" s="9"/>
      <c r="F38" s="9"/>
      <c r="H38" s="9"/>
      <c r="J38" s="9"/>
    </row>
    <row r="39" spans="1:10" s="10" customFormat="1" x14ac:dyDescent="0.25">
      <c r="A39" s="19" t="s">
        <v>709</v>
      </c>
      <c r="B39" s="19" t="s">
        <v>648</v>
      </c>
      <c r="C39" s="20">
        <v>1000</v>
      </c>
      <c r="D39" s="9"/>
      <c r="F39" s="9"/>
      <c r="H39" s="9"/>
      <c r="J39" s="9"/>
    </row>
    <row r="40" spans="1:10" s="10" customFormat="1" x14ac:dyDescent="0.25">
      <c r="A40" s="21" t="s">
        <v>745</v>
      </c>
      <c r="B40" s="21" t="s">
        <v>108</v>
      </c>
      <c r="C40" s="22">
        <v>1400</v>
      </c>
      <c r="D40" s="9"/>
      <c r="F40" s="16"/>
      <c r="H40" s="9"/>
      <c r="J40" s="9"/>
    </row>
    <row r="41" spans="1:10" s="10" customFormat="1" x14ac:dyDescent="0.25">
      <c r="A41" s="21" t="s">
        <v>745</v>
      </c>
      <c r="B41" s="21" t="s">
        <v>297</v>
      </c>
      <c r="C41" s="22">
        <v>1500</v>
      </c>
      <c r="D41" s="9"/>
      <c r="F41" s="16"/>
      <c r="H41" s="9"/>
      <c r="J41" s="9"/>
    </row>
    <row r="42" spans="1:10" s="10" customFormat="1" x14ac:dyDescent="0.25">
      <c r="A42" s="21" t="s">
        <v>711</v>
      </c>
      <c r="B42" s="21" t="s">
        <v>398</v>
      </c>
      <c r="C42" s="22">
        <v>3000</v>
      </c>
      <c r="D42" s="9"/>
      <c r="F42" s="9"/>
      <c r="H42" s="9"/>
      <c r="J42" s="9"/>
    </row>
    <row r="43" spans="1:10" s="10" customFormat="1" x14ac:dyDescent="0.25">
      <c r="A43" s="21" t="s">
        <v>677</v>
      </c>
      <c r="B43" s="21" t="s">
        <v>574</v>
      </c>
      <c r="C43" s="22">
        <v>500</v>
      </c>
      <c r="D43" s="9"/>
      <c r="F43" s="9"/>
      <c r="H43" s="9"/>
      <c r="J43" s="9"/>
    </row>
    <row r="44" spans="1:10" s="10" customFormat="1" x14ac:dyDescent="0.25">
      <c r="A44" s="19" t="s">
        <v>677</v>
      </c>
      <c r="B44" s="9" t="s">
        <v>72</v>
      </c>
      <c r="C44" s="10">
        <v>550</v>
      </c>
      <c r="D44" s="9"/>
      <c r="F44" s="9"/>
      <c r="H44" s="9"/>
      <c r="J44" s="9"/>
    </row>
    <row r="45" spans="1:10" s="10" customFormat="1" x14ac:dyDescent="0.25">
      <c r="A45" s="9" t="s">
        <v>677</v>
      </c>
      <c r="B45" s="9" t="s">
        <v>87</v>
      </c>
      <c r="C45" s="10">
        <v>3000</v>
      </c>
      <c r="D45" s="9"/>
      <c r="F45" s="9"/>
      <c r="H45" s="9"/>
      <c r="J45" s="9"/>
    </row>
    <row r="46" spans="1:10" s="10" customFormat="1" x14ac:dyDescent="0.25">
      <c r="A46" s="9"/>
      <c r="B46" s="9"/>
      <c r="D46" s="9"/>
      <c r="F46" s="9"/>
      <c r="H46" s="9"/>
      <c r="J46" s="9"/>
    </row>
    <row r="47" spans="1:10" s="10" customFormat="1" x14ac:dyDescent="0.25">
      <c r="A47" s="9"/>
      <c r="B47" s="9"/>
      <c r="D47" s="9"/>
      <c r="F47" s="9"/>
      <c r="H47" s="9"/>
      <c r="J47" s="9"/>
    </row>
    <row r="48" spans="1:10" s="10" customFormat="1" x14ac:dyDescent="0.25">
      <c r="A48" s="9"/>
      <c r="B48" s="9"/>
      <c r="D48" s="9"/>
      <c r="F48" s="9"/>
    </row>
    <row r="49" spans="1:10" s="10" customFormat="1" x14ac:dyDescent="0.25">
      <c r="A49" s="9"/>
      <c r="B49" s="9"/>
      <c r="D49" s="9"/>
      <c r="F49" s="9"/>
    </row>
    <row r="50" spans="1:10" s="10" customFormat="1" x14ac:dyDescent="0.25">
      <c r="A50" s="9"/>
      <c r="B50" s="9"/>
      <c r="D50" s="9"/>
      <c r="F50" s="9"/>
    </row>
    <row r="51" spans="1:10" s="10" customFormat="1" x14ac:dyDescent="0.25">
      <c r="A51" s="9"/>
      <c r="B51" s="9"/>
      <c r="D51" s="9"/>
      <c r="F51" s="9"/>
    </row>
    <row r="52" spans="1:10" s="10" customFormat="1" x14ac:dyDescent="0.25">
      <c r="A52" s="9"/>
      <c r="B52" s="9"/>
      <c r="C52" s="9"/>
      <c r="D52" s="9"/>
      <c r="F52" s="9"/>
    </row>
    <row r="53" spans="1:10" s="10" customFormat="1" x14ac:dyDescent="0.25"/>
    <row r="54" spans="1:10" s="10" customFormat="1" x14ac:dyDescent="0.25"/>
    <row r="55" spans="1:10" s="10" customFormat="1" x14ac:dyDescent="0.25"/>
    <row r="56" spans="1:10" s="10" customFormat="1" x14ac:dyDescent="0.25"/>
    <row r="57" spans="1:10" s="10" customFormat="1" x14ac:dyDescent="0.25"/>
    <row r="58" spans="1:10" s="10" customFormat="1" x14ac:dyDescent="0.25"/>
    <row r="59" spans="1:10" s="10" customFormat="1" x14ac:dyDescent="0.25"/>
    <row r="60" spans="1:10" s="10" customFormat="1" x14ac:dyDescent="0.25">
      <c r="H60" s="9"/>
      <c r="J60" s="9"/>
    </row>
    <row r="61" spans="1:10" s="10" customFormat="1" x14ac:dyDescent="0.25">
      <c r="H61" s="9"/>
      <c r="J61" s="9"/>
    </row>
    <row r="62" spans="1:10" s="10" customFormat="1" x14ac:dyDescent="0.25">
      <c r="H62" s="9"/>
      <c r="J62" s="9"/>
    </row>
    <row r="63" spans="1:10" s="10" customFormat="1" x14ac:dyDescent="0.25">
      <c r="H63" s="9"/>
      <c r="J63" s="9"/>
    </row>
    <row r="64" spans="1:10" s="10" customFormat="1" x14ac:dyDescent="0.25">
      <c r="H64" s="9"/>
      <c r="J64" s="9"/>
    </row>
    <row r="65" spans="1:11" s="10" customFormat="1" x14ac:dyDescent="0.25">
      <c r="H65" s="9"/>
      <c r="J65" s="9"/>
    </row>
    <row r="66" spans="1:11" s="10" customFormat="1" x14ac:dyDescent="0.25">
      <c r="H66" s="9"/>
      <c r="J66" s="9"/>
    </row>
    <row r="67" spans="1:11" s="10" customFormat="1" x14ac:dyDescent="0.25">
      <c r="H67" s="9"/>
      <c r="J67" s="9"/>
    </row>
    <row r="68" spans="1:11" s="10" customFormat="1" x14ac:dyDescent="0.25">
      <c r="H68" s="9"/>
      <c r="J68" s="9"/>
    </row>
    <row r="69" spans="1:11" s="10" customFormat="1" x14ac:dyDescent="0.25">
      <c r="H69" s="9"/>
      <c r="J69" s="9"/>
    </row>
    <row r="70" spans="1:11" s="10" customFormat="1" x14ac:dyDescent="0.25">
      <c r="H70" s="9"/>
      <c r="J70" s="9"/>
    </row>
    <row r="71" spans="1:11" s="10" customFormat="1" x14ac:dyDescent="0.25">
      <c r="H71" s="9"/>
      <c r="J71" s="9"/>
    </row>
    <row r="72" spans="1:11" s="10" customFormat="1" x14ac:dyDescent="0.25">
      <c r="H72" s="9"/>
      <c r="J72" s="9"/>
    </row>
    <row r="73" spans="1:11" s="10" customFormat="1" x14ac:dyDescent="0.25">
      <c r="H73" s="9"/>
      <c r="J73" s="9"/>
    </row>
    <row r="74" spans="1:11" s="11" customFormat="1" x14ac:dyDescent="0.25">
      <c r="C74" s="12"/>
      <c r="E74" s="12"/>
      <c r="G74" s="12"/>
      <c r="I74" s="12"/>
      <c r="K74" s="12"/>
    </row>
    <row r="75" spans="1:11" x14ac:dyDescent="0.25">
      <c r="C75" s="10"/>
    </row>
    <row r="76" spans="1:11" x14ac:dyDescent="0.25">
      <c r="A76" s="13"/>
      <c r="C76" s="10"/>
    </row>
    <row r="77" spans="1:11" x14ac:dyDescent="0.25">
      <c r="C77" s="10"/>
    </row>
    <row r="78" spans="1:11" x14ac:dyDescent="0.25">
      <c r="C78" s="10"/>
    </row>
    <row r="79" spans="1:11" x14ac:dyDescent="0.25">
      <c r="C79" s="10"/>
    </row>
    <row r="80" spans="1:11" x14ac:dyDescent="0.25"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84" spans="3:3" x14ac:dyDescent="0.25">
      <c r="C84" s="10"/>
    </row>
    <row r="85" spans="3:3" x14ac:dyDescent="0.25">
      <c r="C85" s="10"/>
    </row>
    <row r="86" spans="3:3" x14ac:dyDescent="0.25">
      <c r="C86" s="10"/>
    </row>
    <row r="87" spans="3:3" x14ac:dyDescent="0.25">
      <c r="C87" s="10"/>
    </row>
    <row r="88" spans="3:3" x14ac:dyDescent="0.25">
      <c r="C88" s="10"/>
    </row>
    <row r="89" spans="3:3" x14ac:dyDescent="0.25">
      <c r="C89" s="10"/>
    </row>
    <row r="90" spans="3:3" x14ac:dyDescent="0.25">
      <c r="C90" s="10"/>
    </row>
    <row r="91" spans="3:3" x14ac:dyDescent="0.25">
      <c r="C91" s="10"/>
    </row>
    <row r="92" spans="3:3" x14ac:dyDescent="0.25">
      <c r="C92" s="1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92"/>
  <sheetViews>
    <sheetView topLeftCell="B1" workbookViewId="0">
      <pane ySplit="3" topLeftCell="A4" activePane="bottomLeft" state="frozen"/>
      <selection activeCell="K26" activeCellId="1" sqref="K29:K30 K26"/>
      <selection pane="bottomLeft" activeCell="A24" sqref="A24:L24"/>
    </sheetView>
  </sheetViews>
  <sheetFormatPr baseColWidth="10" defaultColWidth="10.7109375" defaultRowHeight="15" x14ac:dyDescent="0.25"/>
  <cols>
    <col min="1" max="1" width="22.7109375" style="9" customWidth="1"/>
    <col min="2" max="2" width="62.28515625" style="9" customWidth="1"/>
    <col min="3" max="3" width="22.42578125" style="9" customWidth="1"/>
    <col min="4" max="4" width="37.5703125" style="9" customWidth="1"/>
    <col min="5" max="5" width="10.7109375" style="10"/>
    <col min="6" max="6" width="10.7109375" style="9" hidden="1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2" s="11" customFormat="1" x14ac:dyDescent="0.25">
      <c r="A1" s="11" t="s">
        <v>0</v>
      </c>
      <c r="E1" s="12"/>
      <c r="G1" s="12"/>
      <c r="I1" s="12"/>
    </row>
    <row r="3" spans="1:12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12" t="s">
        <v>13</v>
      </c>
    </row>
    <row r="4" spans="1:12" x14ac:dyDescent="0.25">
      <c r="A4" s="5" t="s">
        <v>746</v>
      </c>
      <c r="B4" s="5" t="s">
        <v>747</v>
      </c>
      <c r="C4" s="5" t="s">
        <v>16</v>
      </c>
      <c r="D4" s="5" t="s">
        <v>563</v>
      </c>
      <c r="E4" s="4">
        <v>350</v>
      </c>
      <c r="F4" s="5"/>
      <c r="G4" s="4" t="s">
        <v>37</v>
      </c>
      <c r="H4" s="4" t="s">
        <v>37</v>
      </c>
      <c r="I4" s="4">
        <v>0</v>
      </c>
      <c r="J4" s="4" t="s">
        <v>37</v>
      </c>
      <c r="K4" s="4">
        <f t="shared" ref="K4:K5" si="0">E4-I4</f>
        <v>350</v>
      </c>
      <c r="L4" s="5"/>
    </row>
    <row r="5" spans="1:12" x14ac:dyDescent="0.25">
      <c r="A5" s="5" t="s">
        <v>781</v>
      </c>
      <c r="B5" s="5" t="s">
        <v>782</v>
      </c>
      <c r="C5" s="5" t="s">
        <v>16</v>
      </c>
      <c r="D5" s="5" t="s">
        <v>779</v>
      </c>
      <c r="E5" s="4">
        <v>1200</v>
      </c>
      <c r="F5" s="5"/>
      <c r="G5" s="4" t="s">
        <v>37</v>
      </c>
      <c r="H5" s="4" t="s">
        <v>37</v>
      </c>
      <c r="I5" s="4">
        <v>0</v>
      </c>
      <c r="J5" s="4" t="s">
        <v>37</v>
      </c>
      <c r="K5" s="4">
        <f t="shared" si="0"/>
        <v>1200</v>
      </c>
      <c r="L5" s="5"/>
    </row>
    <row r="6" spans="1:12" x14ac:dyDescent="0.25">
      <c r="A6" s="9" t="s">
        <v>781</v>
      </c>
      <c r="B6" s="9" t="s">
        <v>783</v>
      </c>
      <c r="C6" s="9" t="s">
        <v>27</v>
      </c>
      <c r="D6" s="9" t="s">
        <v>33</v>
      </c>
      <c r="E6" s="10">
        <v>4300</v>
      </c>
      <c r="G6" s="10" t="s">
        <v>784</v>
      </c>
      <c r="H6" s="10" t="s">
        <v>785</v>
      </c>
      <c r="I6" s="10">
        <v>1780</v>
      </c>
      <c r="J6" s="10" t="s">
        <v>426</v>
      </c>
      <c r="K6" s="10">
        <f t="shared" ref="K6:K13" si="1">E6-I6</f>
        <v>2520</v>
      </c>
    </row>
    <row r="7" spans="1:12" x14ac:dyDescent="0.25">
      <c r="A7" s="5" t="s">
        <v>791</v>
      </c>
      <c r="B7" s="5" t="s">
        <v>792</v>
      </c>
      <c r="C7" s="5" t="s">
        <v>27</v>
      </c>
      <c r="D7" s="5" t="s">
        <v>33</v>
      </c>
      <c r="E7" s="4">
        <v>500</v>
      </c>
      <c r="F7" s="5"/>
      <c r="G7" s="4" t="s">
        <v>37</v>
      </c>
      <c r="H7" s="4" t="s">
        <v>37</v>
      </c>
      <c r="I7" s="4">
        <v>0</v>
      </c>
      <c r="J7" s="5" t="s">
        <v>37</v>
      </c>
      <c r="K7" s="4">
        <f t="shared" si="1"/>
        <v>500</v>
      </c>
      <c r="L7" s="5"/>
    </row>
    <row r="8" spans="1:12" x14ac:dyDescent="0.25">
      <c r="A8" s="5" t="s">
        <v>793</v>
      </c>
      <c r="B8" s="5" t="s">
        <v>794</v>
      </c>
      <c r="C8" s="5" t="s">
        <v>27</v>
      </c>
      <c r="D8" s="5" t="s">
        <v>527</v>
      </c>
      <c r="E8" s="4">
        <v>20350</v>
      </c>
      <c r="F8" s="5"/>
      <c r="G8" s="4" t="s">
        <v>795</v>
      </c>
      <c r="H8" s="4" t="s">
        <v>793</v>
      </c>
      <c r="I8" s="4">
        <v>13500</v>
      </c>
      <c r="J8" s="4" t="s">
        <v>426</v>
      </c>
      <c r="K8" s="4">
        <f t="shared" si="1"/>
        <v>6850</v>
      </c>
      <c r="L8" s="5"/>
    </row>
    <row r="9" spans="1:12" x14ac:dyDescent="0.25">
      <c r="A9" s="5" t="s">
        <v>796</v>
      </c>
      <c r="B9" s="5" t="s">
        <v>797</v>
      </c>
      <c r="C9" s="5" t="s">
        <v>27</v>
      </c>
      <c r="D9" s="5" t="s">
        <v>798</v>
      </c>
      <c r="E9" s="4">
        <v>3200</v>
      </c>
      <c r="F9" s="5"/>
      <c r="G9" s="4" t="s">
        <v>799</v>
      </c>
      <c r="H9" s="4" t="s">
        <v>793</v>
      </c>
      <c r="I9" s="4">
        <v>1103.23</v>
      </c>
      <c r="J9" s="4" t="s">
        <v>426</v>
      </c>
      <c r="K9" s="4">
        <f t="shared" si="1"/>
        <v>2096.77</v>
      </c>
      <c r="L9" s="5"/>
    </row>
    <row r="10" spans="1:12" x14ac:dyDescent="0.25">
      <c r="A10" s="5" t="s">
        <v>796</v>
      </c>
      <c r="B10" s="5" t="s">
        <v>591</v>
      </c>
      <c r="C10" s="5" t="s">
        <v>27</v>
      </c>
      <c r="D10" s="5" t="s">
        <v>33</v>
      </c>
      <c r="E10" s="4">
        <v>750</v>
      </c>
      <c r="F10" s="5"/>
      <c r="G10" s="4" t="s">
        <v>37</v>
      </c>
      <c r="H10" s="4" t="s">
        <v>37</v>
      </c>
      <c r="I10" s="4">
        <v>0</v>
      </c>
      <c r="J10" s="4" t="s">
        <v>37</v>
      </c>
      <c r="K10" s="4">
        <f t="shared" si="1"/>
        <v>750</v>
      </c>
      <c r="L10" s="5"/>
    </row>
    <row r="11" spans="1:12" x14ac:dyDescent="0.25">
      <c r="A11" s="5" t="s">
        <v>800</v>
      </c>
      <c r="B11" s="5" t="s">
        <v>801</v>
      </c>
      <c r="C11" s="5" t="s">
        <v>27</v>
      </c>
      <c r="D11" s="5" t="s">
        <v>33</v>
      </c>
      <c r="E11" s="4">
        <v>1500</v>
      </c>
      <c r="F11" s="5"/>
      <c r="G11" s="4" t="s">
        <v>185</v>
      </c>
      <c r="H11" s="4" t="s">
        <v>37</v>
      </c>
      <c r="I11" s="4">
        <v>800</v>
      </c>
      <c r="J11" s="4" t="s">
        <v>185</v>
      </c>
      <c r="K11" s="4">
        <f t="shared" si="1"/>
        <v>700</v>
      </c>
      <c r="L11" s="5"/>
    </row>
    <row r="12" spans="1:12" x14ac:dyDescent="0.25">
      <c r="A12" s="5" t="s">
        <v>802</v>
      </c>
      <c r="B12" s="5" t="s">
        <v>803</v>
      </c>
      <c r="C12" s="5" t="s">
        <v>27</v>
      </c>
      <c r="D12" s="5" t="s">
        <v>33</v>
      </c>
      <c r="E12" s="4">
        <v>1200</v>
      </c>
      <c r="F12" s="5"/>
      <c r="G12" s="4" t="s">
        <v>178</v>
      </c>
      <c r="H12" s="4" t="s">
        <v>802</v>
      </c>
      <c r="I12" s="4">
        <v>400</v>
      </c>
      <c r="J12" s="4" t="s">
        <v>426</v>
      </c>
      <c r="K12" s="4">
        <f t="shared" si="1"/>
        <v>800</v>
      </c>
      <c r="L12" s="5"/>
    </row>
    <row r="13" spans="1:12" x14ac:dyDescent="0.25">
      <c r="A13" s="5" t="s">
        <v>804</v>
      </c>
      <c r="B13" s="5" t="s">
        <v>805</v>
      </c>
      <c r="C13" s="5" t="s">
        <v>27</v>
      </c>
      <c r="D13" s="5" t="s">
        <v>33</v>
      </c>
      <c r="E13" s="4">
        <v>1800</v>
      </c>
      <c r="F13" s="18"/>
      <c r="G13" s="4" t="s">
        <v>75</v>
      </c>
      <c r="H13" s="4" t="s">
        <v>378</v>
      </c>
      <c r="I13" s="4">
        <v>0</v>
      </c>
      <c r="J13" s="4" t="s">
        <v>378</v>
      </c>
      <c r="K13" s="4">
        <f t="shared" si="1"/>
        <v>1800</v>
      </c>
      <c r="L13" s="5"/>
    </row>
    <row r="14" spans="1:12" x14ac:dyDescent="0.25">
      <c r="A14" s="5" t="s">
        <v>802</v>
      </c>
      <c r="B14" s="5" t="s">
        <v>806</v>
      </c>
      <c r="C14" s="5" t="s">
        <v>27</v>
      </c>
      <c r="D14" s="5" t="s">
        <v>807</v>
      </c>
      <c r="E14" s="4">
        <f>9538+2950+3520</f>
        <v>16008</v>
      </c>
      <c r="F14" s="18"/>
      <c r="G14" s="4" t="s">
        <v>808</v>
      </c>
      <c r="H14" s="4" t="s">
        <v>802</v>
      </c>
      <c r="I14" s="4">
        <f>5476+4197</f>
        <v>9673</v>
      </c>
      <c r="J14" s="4" t="s">
        <v>426</v>
      </c>
      <c r="K14" s="4">
        <f t="shared" ref="K14:K19" si="2">E14-I14</f>
        <v>6335</v>
      </c>
      <c r="L14" s="5"/>
    </row>
    <row r="15" spans="1:12" x14ac:dyDescent="0.25">
      <c r="A15" s="5" t="s">
        <v>809</v>
      </c>
      <c r="B15" s="5" t="s">
        <v>810</v>
      </c>
      <c r="C15" s="5" t="s">
        <v>27</v>
      </c>
      <c r="D15" s="5" t="s">
        <v>33</v>
      </c>
      <c r="E15" s="4">
        <v>750</v>
      </c>
      <c r="F15" s="18"/>
      <c r="G15" s="4" t="s">
        <v>37</v>
      </c>
      <c r="H15" s="4" t="s">
        <v>37</v>
      </c>
      <c r="I15" s="4">
        <v>0</v>
      </c>
      <c r="J15" s="4" t="s">
        <v>37</v>
      </c>
      <c r="K15" s="4">
        <f t="shared" si="2"/>
        <v>750</v>
      </c>
      <c r="L15" s="5"/>
    </row>
    <row r="16" spans="1:12" x14ac:dyDescent="0.25">
      <c r="A16" s="5" t="s">
        <v>811</v>
      </c>
      <c r="B16" s="5" t="s">
        <v>813</v>
      </c>
      <c r="C16" s="5" t="s">
        <v>27</v>
      </c>
      <c r="D16" s="5" t="s">
        <v>812</v>
      </c>
      <c r="E16" s="4">
        <v>4000</v>
      </c>
      <c r="F16" s="18"/>
      <c r="G16" s="4" t="s">
        <v>814</v>
      </c>
      <c r="H16" s="4" t="s">
        <v>811</v>
      </c>
      <c r="I16" s="4">
        <v>1018</v>
      </c>
      <c r="J16" s="4" t="s">
        <v>426</v>
      </c>
      <c r="K16" s="4">
        <f t="shared" si="2"/>
        <v>2982</v>
      </c>
      <c r="L16" s="5"/>
    </row>
    <row r="17" spans="1:12" x14ac:dyDescent="0.25">
      <c r="A17" s="5" t="s">
        <v>809</v>
      </c>
      <c r="B17" s="5" t="s">
        <v>815</v>
      </c>
      <c r="C17" s="5" t="s">
        <v>27</v>
      </c>
      <c r="D17" s="5" t="s">
        <v>33</v>
      </c>
      <c r="E17" s="4">
        <v>750</v>
      </c>
      <c r="F17" s="18"/>
      <c r="G17" s="4" t="s">
        <v>37</v>
      </c>
      <c r="H17" s="4" t="s">
        <v>37</v>
      </c>
      <c r="I17" s="4">
        <v>0</v>
      </c>
      <c r="J17" s="4" t="s">
        <v>37</v>
      </c>
      <c r="K17" s="4">
        <f t="shared" si="2"/>
        <v>750</v>
      </c>
    </row>
    <row r="18" spans="1:12" x14ac:dyDescent="0.25">
      <c r="A18" s="5" t="s">
        <v>816</v>
      </c>
      <c r="B18" s="5" t="s">
        <v>817</v>
      </c>
      <c r="C18" s="5" t="s">
        <v>27</v>
      </c>
      <c r="D18" s="5" t="s">
        <v>168</v>
      </c>
      <c r="E18" s="4">
        <v>650</v>
      </c>
      <c r="F18" s="18"/>
      <c r="G18" s="4" t="s">
        <v>37</v>
      </c>
      <c r="H18" s="4" t="s">
        <v>37</v>
      </c>
      <c r="I18" s="4">
        <v>0</v>
      </c>
      <c r="J18" s="4" t="s">
        <v>37</v>
      </c>
      <c r="K18" s="4">
        <f t="shared" si="2"/>
        <v>650</v>
      </c>
      <c r="L18" s="5"/>
    </row>
    <row r="19" spans="1:12" x14ac:dyDescent="0.25">
      <c r="A19" s="5" t="s">
        <v>816</v>
      </c>
      <c r="B19" s="5" t="s">
        <v>818</v>
      </c>
      <c r="C19" s="5" t="s">
        <v>27</v>
      </c>
      <c r="D19" s="5" t="s">
        <v>33</v>
      </c>
      <c r="E19" s="4">
        <v>0</v>
      </c>
      <c r="F19" s="18"/>
      <c r="G19" s="4" t="s">
        <v>288</v>
      </c>
      <c r="H19" s="4" t="s">
        <v>378</v>
      </c>
      <c r="I19" s="4">
        <v>350</v>
      </c>
      <c r="J19" s="4" t="s">
        <v>37</v>
      </c>
      <c r="K19" s="4">
        <f t="shared" si="2"/>
        <v>-350</v>
      </c>
      <c r="L19" s="5"/>
    </row>
    <row r="20" spans="1:12" x14ac:dyDescent="0.25">
      <c r="A20" s="5" t="s">
        <v>816</v>
      </c>
      <c r="B20" s="5" t="s">
        <v>819</v>
      </c>
      <c r="C20" s="5" t="s">
        <v>27</v>
      </c>
      <c r="D20" s="5" t="s">
        <v>33</v>
      </c>
      <c r="E20" s="4">
        <v>1950</v>
      </c>
      <c r="F20" s="18"/>
      <c r="G20" s="4" t="s">
        <v>820</v>
      </c>
      <c r="H20" s="4" t="s">
        <v>378</v>
      </c>
      <c r="I20" s="4">
        <v>350</v>
      </c>
      <c r="J20" s="4" t="s">
        <v>37</v>
      </c>
      <c r="K20" s="4">
        <f t="shared" ref="K20:K25" si="3">E20-I20</f>
        <v>1600</v>
      </c>
      <c r="L20" s="5"/>
    </row>
    <row r="21" spans="1:12" x14ac:dyDescent="0.25">
      <c r="A21" s="5" t="s">
        <v>816</v>
      </c>
      <c r="B21" s="5" t="s">
        <v>821</v>
      </c>
      <c r="C21" s="5" t="s">
        <v>27</v>
      </c>
      <c r="D21" s="5" t="s">
        <v>33</v>
      </c>
      <c r="E21" s="4">
        <v>750</v>
      </c>
      <c r="F21" s="18"/>
      <c r="G21" s="4" t="s">
        <v>37</v>
      </c>
      <c r="H21" s="4" t="s">
        <v>37</v>
      </c>
      <c r="I21" s="4">
        <v>300</v>
      </c>
      <c r="J21" s="4" t="s">
        <v>185</v>
      </c>
      <c r="K21" s="4">
        <f t="shared" si="3"/>
        <v>450</v>
      </c>
      <c r="L21" s="5"/>
    </row>
    <row r="22" spans="1:12" x14ac:dyDescent="0.25">
      <c r="A22" s="5" t="s">
        <v>816</v>
      </c>
      <c r="B22" s="5" t="s">
        <v>822</v>
      </c>
      <c r="C22" s="5" t="s">
        <v>27</v>
      </c>
      <c r="D22" s="5" t="s">
        <v>36</v>
      </c>
      <c r="E22" s="4">
        <f>8*350</f>
        <v>2800</v>
      </c>
      <c r="F22" s="18"/>
      <c r="G22" s="4" t="s">
        <v>37</v>
      </c>
      <c r="H22" s="4" t="s">
        <v>37</v>
      </c>
      <c r="I22" s="4">
        <v>0</v>
      </c>
      <c r="J22" s="4" t="s">
        <v>37</v>
      </c>
      <c r="K22" s="4">
        <f t="shared" si="3"/>
        <v>2800</v>
      </c>
      <c r="L22" s="5"/>
    </row>
    <row r="23" spans="1:12" x14ac:dyDescent="0.25">
      <c r="A23" s="5" t="s">
        <v>816</v>
      </c>
      <c r="B23" s="5" t="s">
        <v>823</v>
      </c>
      <c r="C23" s="5" t="s">
        <v>27</v>
      </c>
      <c r="D23" s="5" t="s">
        <v>36</v>
      </c>
      <c r="E23" s="4">
        <f>400*5</f>
        <v>2000</v>
      </c>
      <c r="F23" s="18"/>
      <c r="G23" s="4" t="s">
        <v>37</v>
      </c>
      <c r="H23" s="4" t="s">
        <v>37</v>
      </c>
      <c r="I23" s="4">
        <v>0</v>
      </c>
      <c r="J23" s="4" t="s">
        <v>37</v>
      </c>
      <c r="K23" s="4">
        <f t="shared" si="3"/>
        <v>2000</v>
      </c>
      <c r="L23" s="5"/>
    </row>
    <row r="24" spans="1:12" x14ac:dyDescent="0.25">
      <c r="A24" s="5" t="s">
        <v>816</v>
      </c>
      <c r="B24" s="5" t="s">
        <v>824</v>
      </c>
      <c r="C24" s="5" t="s">
        <v>27</v>
      </c>
      <c r="D24" s="5" t="s">
        <v>36</v>
      </c>
      <c r="E24" s="4">
        <v>500</v>
      </c>
      <c r="F24" s="18"/>
      <c r="G24" s="4" t="s">
        <v>37</v>
      </c>
      <c r="H24" s="4" t="s">
        <v>37</v>
      </c>
      <c r="I24" s="4">
        <v>0</v>
      </c>
      <c r="J24" s="4" t="s">
        <v>37</v>
      </c>
      <c r="K24" s="4">
        <f t="shared" si="3"/>
        <v>500</v>
      </c>
      <c r="L24" s="5"/>
    </row>
    <row r="25" spans="1:12" x14ac:dyDescent="0.25">
      <c r="A25" s="5" t="s">
        <v>825</v>
      </c>
      <c r="B25" s="5" t="s">
        <v>826</v>
      </c>
      <c r="C25" s="5" t="s">
        <v>27</v>
      </c>
      <c r="D25" s="5" t="s">
        <v>827</v>
      </c>
      <c r="E25" s="4">
        <v>6795</v>
      </c>
      <c r="F25" s="18"/>
      <c r="G25" s="4" t="s">
        <v>828</v>
      </c>
      <c r="H25" s="4" t="s">
        <v>825</v>
      </c>
      <c r="I25" s="4">
        <v>3200</v>
      </c>
      <c r="J25" s="4" t="s">
        <v>37</v>
      </c>
      <c r="K25" s="4">
        <f t="shared" si="3"/>
        <v>3595</v>
      </c>
      <c r="L25" s="5"/>
    </row>
    <row r="26" spans="1:12" x14ac:dyDescent="0.25">
      <c r="F26" s="16"/>
      <c r="H26" s="10"/>
      <c r="J26" s="10"/>
    </row>
    <row r="27" spans="1:12" x14ac:dyDescent="0.25">
      <c r="F27" s="16"/>
      <c r="H27" s="10"/>
      <c r="J27" s="10"/>
    </row>
    <row r="28" spans="1:12" x14ac:dyDescent="0.25">
      <c r="F28" s="16"/>
      <c r="H28" s="10"/>
      <c r="J28" s="10"/>
    </row>
    <row r="29" spans="1:12" x14ac:dyDescent="0.25">
      <c r="F29" s="16"/>
    </row>
    <row r="30" spans="1:12" s="11" customFormat="1" x14ac:dyDescent="0.25">
      <c r="A30" s="11" t="s">
        <v>753</v>
      </c>
      <c r="E30" s="12"/>
      <c r="F30" s="17"/>
      <c r="G30" s="12"/>
      <c r="I30" s="12"/>
      <c r="K30" s="12"/>
    </row>
    <row r="31" spans="1:12" x14ac:dyDescent="0.25">
      <c r="F31" s="16"/>
    </row>
    <row r="32" spans="1:12" x14ac:dyDescent="0.25">
      <c r="A32" s="21" t="s">
        <v>786</v>
      </c>
      <c r="B32" s="21" t="s">
        <v>108</v>
      </c>
      <c r="C32" s="22">
        <v>1400</v>
      </c>
      <c r="H32" s="10"/>
      <c r="J32" s="10"/>
    </row>
    <row r="33" spans="1:10" x14ac:dyDescent="0.25">
      <c r="A33" s="21" t="s">
        <v>786</v>
      </c>
      <c r="B33" s="21" t="s">
        <v>297</v>
      </c>
      <c r="C33" s="22">
        <v>1500</v>
      </c>
      <c r="F33" s="16"/>
    </row>
    <row r="34" spans="1:10" x14ac:dyDescent="0.25">
      <c r="A34" s="21" t="s">
        <v>787</v>
      </c>
      <c r="B34" s="21" t="s">
        <v>108</v>
      </c>
      <c r="C34" s="22">
        <v>1500</v>
      </c>
      <c r="F34" s="16"/>
    </row>
    <row r="35" spans="1:10" x14ac:dyDescent="0.25">
      <c r="A35" s="21" t="s">
        <v>787</v>
      </c>
      <c r="B35" s="21" t="s">
        <v>297</v>
      </c>
      <c r="C35" s="22">
        <v>1500</v>
      </c>
      <c r="F35" s="16"/>
      <c r="H35" s="16"/>
    </row>
    <row r="36" spans="1:10" s="10" customFormat="1" x14ac:dyDescent="0.25">
      <c r="A36" s="21" t="s">
        <v>788</v>
      </c>
      <c r="B36" s="21" t="s">
        <v>297</v>
      </c>
      <c r="C36" s="22">
        <v>1500</v>
      </c>
      <c r="D36" s="9"/>
      <c r="F36" s="16"/>
      <c r="H36" s="9"/>
      <c r="J36" s="9"/>
    </row>
    <row r="37" spans="1:10" s="10" customFormat="1" x14ac:dyDescent="0.25">
      <c r="A37" s="21" t="s">
        <v>788</v>
      </c>
      <c r="B37" s="21" t="s">
        <v>108</v>
      </c>
      <c r="C37" s="22">
        <v>1400</v>
      </c>
      <c r="D37" s="9"/>
      <c r="F37" s="16"/>
      <c r="H37" s="9"/>
      <c r="J37" s="9"/>
    </row>
    <row r="38" spans="1:10" s="10" customFormat="1" x14ac:dyDescent="0.25">
      <c r="A38" s="21" t="s">
        <v>788</v>
      </c>
      <c r="B38" s="21" t="s">
        <v>206</v>
      </c>
      <c r="C38" s="22">
        <v>6000</v>
      </c>
      <c r="D38" s="9"/>
      <c r="F38" s="9"/>
      <c r="H38" s="9"/>
      <c r="J38" s="9"/>
    </row>
    <row r="39" spans="1:10" s="10" customFormat="1" x14ac:dyDescent="0.25">
      <c r="A39" s="19" t="s">
        <v>788</v>
      </c>
      <c r="B39" s="19" t="s">
        <v>648</v>
      </c>
      <c r="C39" s="20">
        <v>1000</v>
      </c>
      <c r="D39" s="9"/>
      <c r="F39" s="9"/>
      <c r="H39" s="9"/>
      <c r="J39" s="9"/>
    </row>
    <row r="40" spans="1:10" s="10" customFormat="1" x14ac:dyDescent="0.25">
      <c r="A40" s="21" t="s">
        <v>789</v>
      </c>
      <c r="B40" s="21" t="s">
        <v>108</v>
      </c>
      <c r="C40" s="22">
        <v>1400</v>
      </c>
      <c r="D40" s="9"/>
      <c r="F40" s="16"/>
      <c r="H40" s="9"/>
      <c r="J40" s="9"/>
    </row>
    <row r="41" spans="1:10" s="10" customFormat="1" x14ac:dyDescent="0.25">
      <c r="A41" s="21" t="s">
        <v>789</v>
      </c>
      <c r="B41" s="21" t="s">
        <v>297</v>
      </c>
      <c r="C41" s="22">
        <v>1500</v>
      </c>
      <c r="D41" s="9"/>
      <c r="F41" s="16"/>
      <c r="H41" s="9"/>
      <c r="J41" s="9"/>
    </row>
    <row r="42" spans="1:10" s="10" customFormat="1" x14ac:dyDescent="0.25">
      <c r="A42" s="19" t="s">
        <v>790</v>
      </c>
      <c r="B42" s="19" t="s">
        <v>398</v>
      </c>
      <c r="C42" s="20">
        <v>3000</v>
      </c>
      <c r="D42" s="9"/>
      <c r="F42" s="9"/>
      <c r="H42" s="9"/>
      <c r="J42" s="9"/>
    </row>
    <row r="43" spans="1:10" s="10" customFormat="1" x14ac:dyDescent="0.25">
      <c r="A43" s="21" t="s">
        <v>790</v>
      </c>
      <c r="B43" s="21" t="s">
        <v>574</v>
      </c>
      <c r="C43" s="22">
        <v>500</v>
      </c>
      <c r="D43" s="9"/>
      <c r="F43" s="9"/>
      <c r="H43" s="9"/>
      <c r="J43" s="9"/>
    </row>
    <row r="44" spans="1:10" s="10" customFormat="1" x14ac:dyDescent="0.25">
      <c r="A44" s="21" t="s">
        <v>790</v>
      </c>
      <c r="B44" s="5" t="s">
        <v>72</v>
      </c>
      <c r="C44" s="4">
        <v>550</v>
      </c>
      <c r="D44" s="9"/>
      <c r="F44" s="9"/>
      <c r="H44" s="9"/>
      <c r="J44" s="9"/>
    </row>
    <row r="45" spans="1:10" s="10" customFormat="1" x14ac:dyDescent="0.25">
      <c r="A45" s="19" t="s">
        <v>790</v>
      </c>
      <c r="B45" s="9" t="s">
        <v>87</v>
      </c>
      <c r="C45" s="10">
        <f>4500-2500</f>
        <v>2000</v>
      </c>
      <c r="D45" s="9"/>
      <c r="F45" s="9"/>
      <c r="H45" s="9"/>
      <c r="J45" s="9"/>
    </row>
    <row r="46" spans="1:10" s="10" customFormat="1" x14ac:dyDescent="0.25">
      <c r="A46" s="9"/>
      <c r="B46" s="9"/>
      <c r="D46" s="9"/>
      <c r="F46" s="9"/>
      <c r="H46" s="9"/>
      <c r="J46" s="9"/>
    </row>
    <row r="47" spans="1:10" s="10" customFormat="1" x14ac:dyDescent="0.25">
      <c r="A47" s="9"/>
      <c r="B47" s="9"/>
      <c r="D47" s="9"/>
      <c r="F47" s="9"/>
      <c r="H47" s="9"/>
      <c r="J47" s="9"/>
    </row>
    <row r="48" spans="1:10" s="10" customFormat="1" x14ac:dyDescent="0.25">
      <c r="A48" s="9"/>
      <c r="B48" s="9"/>
      <c r="D48" s="9"/>
      <c r="F48" s="9"/>
    </row>
    <row r="49" spans="1:10" s="10" customFormat="1" x14ac:dyDescent="0.25">
      <c r="A49" s="9"/>
      <c r="B49" s="9"/>
      <c r="D49" s="9"/>
      <c r="F49" s="9"/>
    </row>
    <row r="50" spans="1:10" s="10" customFormat="1" x14ac:dyDescent="0.25">
      <c r="A50" s="9"/>
      <c r="B50" s="9"/>
      <c r="D50" s="9"/>
      <c r="F50" s="9"/>
    </row>
    <row r="51" spans="1:10" s="10" customFormat="1" x14ac:dyDescent="0.25">
      <c r="A51" s="9"/>
      <c r="B51" s="9"/>
      <c r="D51" s="9"/>
      <c r="F51" s="9"/>
    </row>
    <row r="52" spans="1:10" s="10" customFormat="1" x14ac:dyDescent="0.25">
      <c r="A52" s="9"/>
      <c r="B52" s="9"/>
      <c r="C52" s="9"/>
      <c r="D52" s="9"/>
      <c r="F52" s="9"/>
    </row>
    <row r="53" spans="1:10" s="10" customFormat="1" x14ac:dyDescent="0.25"/>
    <row r="54" spans="1:10" s="10" customFormat="1" x14ac:dyDescent="0.25"/>
    <row r="55" spans="1:10" s="10" customFormat="1" x14ac:dyDescent="0.25"/>
    <row r="56" spans="1:10" s="10" customFormat="1" x14ac:dyDescent="0.25"/>
    <row r="57" spans="1:10" s="10" customFormat="1" x14ac:dyDescent="0.25"/>
    <row r="58" spans="1:10" s="10" customFormat="1" x14ac:dyDescent="0.25"/>
    <row r="59" spans="1:10" s="10" customFormat="1" x14ac:dyDescent="0.25"/>
    <row r="60" spans="1:10" s="10" customFormat="1" x14ac:dyDescent="0.25">
      <c r="H60" s="9"/>
      <c r="J60" s="9"/>
    </row>
    <row r="61" spans="1:10" s="10" customFormat="1" x14ac:dyDescent="0.25">
      <c r="H61" s="9"/>
      <c r="J61" s="9"/>
    </row>
    <row r="62" spans="1:10" s="10" customFormat="1" x14ac:dyDescent="0.25">
      <c r="H62" s="9"/>
      <c r="J62" s="9"/>
    </row>
    <row r="63" spans="1:10" s="10" customFormat="1" x14ac:dyDescent="0.25">
      <c r="H63" s="9"/>
      <c r="J63" s="9"/>
    </row>
    <row r="64" spans="1:10" s="10" customFormat="1" x14ac:dyDescent="0.25">
      <c r="H64" s="9"/>
      <c r="J64" s="9"/>
    </row>
    <row r="65" spans="1:11" s="10" customFormat="1" x14ac:dyDescent="0.25">
      <c r="H65" s="9"/>
      <c r="J65" s="9"/>
    </row>
    <row r="66" spans="1:11" s="10" customFormat="1" x14ac:dyDescent="0.25">
      <c r="H66" s="9"/>
      <c r="J66" s="9"/>
    </row>
    <row r="67" spans="1:11" s="10" customFormat="1" x14ac:dyDescent="0.25">
      <c r="H67" s="9"/>
      <c r="J67" s="9"/>
    </row>
    <row r="68" spans="1:11" s="10" customFormat="1" x14ac:dyDescent="0.25">
      <c r="H68" s="9"/>
      <c r="J68" s="9"/>
    </row>
    <row r="69" spans="1:11" s="10" customFormat="1" x14ac:dyDescent="0.25">
      <c r="H69" s="9"/>
      <c r="J69" s="9"/>
    </row>
    <row r="70" spans="1:11" s="10" customFormat="1" x14ac:dyDescent="0.25">
      <c r="H70" s="9"/>
      <c r="J70" s="9"/>
    </row>
    <row r="71" spans="1:11" s="10" customFormat="1" x14ac:dyDescent="0.25">
      <c r="H71" s="9"/>
      <c r="J71" s="9"/>
    </row>
    <row r="72" spans="1:11" s="10" customFormat="1" x14ac:dyDescent="0.25">
      <c r="H72" s="9"/>
      <c r="J72" s="9"/>
    </row>
    <row r="73" spans="1:11" s="10" customFormat="1" x14ac:dyDescent="0.25">
      <c r="H73" s="9"/>
      <c r="J73" s="9"/>
    </row>
    <row r="74" spans="1:11" s="11" customFormat="1" x14ac:dyDescent="0.25">
      <c r="C74" s="12"/>
      <c r="E74" s="12"/>
      <c r="G74" s="12"/>
      <c r="I74" s="12"/>
      <c r="K74" s="12"/>
    </row>
    <row r="75" spans="1:11" x14ac:dyDescent="0.25">
      <c r="C75" s="10"/>
    </row>
    <row r="76" spans="1:11" x14ac:dyDescent="0.25">
      <c r="A76" s="13"/>
      <c r="C76" s="10"/>
    </row>
    <row r="77" spans="1:11" x14ac:dyDescent="0.25">
      <c r="C77" s="10"/>
    </row>
    <row r="78" spans="1:11" x14ac:dyDescent="0.25">
      <c r="C78" s="10"/>
    </row>
    <row r="79" spans="1:11" x14ac:dyDescent="0.25">
      <c r="C79" s="10"/>
    </row>
    <row r="80" spans="1:11" x14ac:dyDescent="0.25"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84" spans="3:3" x14ac:dyDescent="0.25">
      <c r="C84" s="10"/>
    </row>
    <row r="85" spans="3:3" x14ac:dyDescent="0.25">
      <c r="C85" s="10"/>
    </row>
    <row r="86" spans="3:3" x14ac:dyDescent="0.25">
      <c r="C86" s="10"/>
    </row>
    <row r="87" spans="3:3" x14ac:dyDescent="0.25">
      <c r="C87" s="10"/>
    </row>
    <row r="88" spans="3:3" x14ac:dyDescent="0.25">
      <c r="C88" s="10"/>
    </row>
    <row r="89" spans="3:3" x14ac:dyDescent="0.25">
      <c r="C89" s="10"/>
    </row>
    <row r="90" spans="3:3" x14ac:dyDescent="0.25">
      <c r="C90" s="10"/>
    </row>
    <row r="91" spans="3:3" x14ac:dyDescent="0.25">
      <c r="C91" s="10"/>
    </row>
    <row r="92" spans="3:3" x14ac:dyDescent="0.25">
      <c r="C92" s="10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1048576"/>
  <sheetViews>
    <sheetView topLeftCell="B1" workbookViewId="0">
      <pane ySplit="3" topLeftCell="A19" activePane="bottomLeft" state="frozen"/>
      <selection activeCell="K26" activeCellId="1" sqref="K29:K30 K26"/>
      <selection pane="bottomLeft" activeCell="A34" sqref="A34:L34"/>
    </sheetView>
  </sheetViews>
  <sheetFormatPr baseColWidth="10" defaultColWidth="10.7109375" defaultRowHeight="15" x14ac:dyDescent="0.25"/>
  <cols>
    <col min="1" max="1" width="22.7109375" style="9" customWidth="1"/>
    <col min="2" max="2" width="62.28515625" style="9" customWidth="1"/>
    <col min="3" max="3" width="22.42578125" style="9" customWidth="1"/>
    <col min="4" max="4" width="37.5703125" style="9" customWidth="1"/>
    <col min="5" max="5" width="10.7109375" style="10"/>
    <col min="6" max="6" width="10.7109375" style="9" hidden="1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2" s="11" customFormat="1" x14ac:dyDescent="0.25">
      <c r="A1" s="11" t="s">
        <v>0</v>
      </c>
      <c r="E1" s="12"/>
      <c r="G1" s="12"/>
      <c r="I1" s="12"/>
    </row>
    <row r="3" spans="1:12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12" t="s">
        <v>13</v>
      </c>
    </row>
    <row r="4" spans="1:12" x14ac:dyDescent="0.25">
      <c r="A4" s="5" t="s">
        <v>829</v>
      </c>
      <c r="B4" s="5" t="s">
        <v>830</v>
      </c>
      <c r="C4" s="5" t="s">
        <v>7</v>
      </c>
      <c r="D4" s="5" t="s">
        <v>33</v>
      </c>
      <c r="E4" s="4">
        <v>350</v>
      </c>
      <c r="F4" s="5"/>
      <c r="G4" s="4" t="s">
        <v>37</v>
      </c>
      <c r="H4" s="4" t="s">
        <v>37</v>
      </c>
      <c r="I4" s="4">
        <v>0</v>
      </c>
      <c r="J4" s="4" t="s">
        <v>37</v>
      </c>
      <c r="K4" s="4">
        <f t="shared" ref="K4" si="0">E4-I4</f>
        <v>350</v>
      </c>
      <c r="L4" s="5"/>
    </row>
    <row r="5" spans="1:12" x14ac:dyDescent="0.25">
      <c r="A5" s="5" t="s">
        <v>837</v>
      </c>
      <c r="B5" s="5" t="s">
        <v>838</v>
      </c>
      <c r="C5" s="5" t="s">
        <v>27</v>
      </c>
      <c r="D5" s="5" t="s">
        <v>33</v>
      </c>
      <c r="E5" s="4">
        <v>3250</v>
      </c>
      <c r="F5" s="5"/>
      <c r="G5" s="4" t="s">
        <v>839</v>
      </c>
      <c r="H5" s="4" t="s">
        <v>837</v>
      </c>
      <c r="I5" s="4">
        <f>899+1300</f>
        <v>2199</v>
      </c>
      <c r="J5" s="4" t="s">
        <v>65</v>
      </c>
      <c r="K5" s="4">
        <f t="shared" ref="K5:K12" si="1">E5-I5</f>
        <v>1051</v>
      </c>
      <c r="L5" s="5"/>
    </row>
    <row r="6" spans="1:12" x14ac:dyDescent="0.25">
      <c r="A6" s="5" t="s">
        <v>837</v>
      </c>
      <c r="B6" s="5" t="s">
        <v>840</v>
      </c>
      <c r="C6" s="5" t="s">
        <v>27</v>
      </c>
      <c r="D6" s="5" t="s">
        <v>33</v>
      </c>
      <c r="E6" s="4">
        <v>750</v>
      </c>
      <c r="F6" s="5"/>
      <c r="G6" s="4" t="s">
        <v>37</v>
      </c>
      <c r="H6" s="4" t="s">
        <v>37</v>
      </c>
      <c r="I6" s="4">
        <v>0</v>
      </c>
      <c r="J6" s="4" t="s">
        <v>37</v>
      </c>
      <c r="K6" s="4">
        <f t="shared" si="1"/>
        <v>750</v>
      </c>
      <c r="L6" s="5"/>
    </row>
    <row r="7" spans="1:12" x14ac:dyDescent="0.25">
      <c r="A7" s="5" t="s">
        <v>841</v>
      </c>
      <c r="B7" s="5" t="s">
        <v>519</v>
      </c>
      <c r="C7" s="5" t="s">
        <v>27</v>
      </c>
      <c r="D7" s="5" t="s">
        <v>33</v>
      </c>
      <c r="E7" s="4">
        <v>1750</v>
      </c>
      <c r="F7" s="5"/>
      <c r="G7" s="4" t="s">
        <v>131</v>
      </c>
      <c r="H7" s="4" t="s">
        <v>378</v>
      </c>
      <c r="I7" s="4"/>
      <c r="J7" s="5"/>
      <c r="K7" s="4">
        <f t="shared" si="1"/>
        <v>1750</v>
      </c>
      <c r="L7" s="5"/>
    </row>
    <row r="8" spans="1:12" x14ac:dyDescent="0.25">
      <c r="A8" s="5" t="s">
        <v>841</v>
      </c>
      <c r="B8" s="5" t="s">
        <v>842</v>
      </c>
      <c r="C8" s="5" t="s">
        <v>27</v>
      </c>
      <c r="D8" s="5" t="s">
        <v>33</v>
      </c>
      <c r="E8" s="4">
        <v>500</v>
      </c>
      <c r="F8" s="5"/>
      <c r="G8" s="4" t="s">
        <v>37</v>
      </c>
      <c r="H8" s="4" t="s">
        <v>37</v>
      </c>
      <c r="I8" s="4">
        <v>0</v>
      </c>
      <c r="J8" s="4" t="s">
        <v>37</v>
      </c>
      <c r="K8" s="4">
        <f t="shared" si="1"/>
        <v>500</v>
      </c>
      <c r="L8" s="5"/>
    </row>
    <row r="9" spans="1:12" x14ac:dyDescent="0.25">
      <c r="A9" s="5" t="s">
        <v>841</v>
      </c>
      <c r="B9" s="5" t="s">
        <v>152</v>
      </c>
      <c r="C9" s="5" t="s">
        <v>27</v>
      </c>
      <c r="D9" s="5" t="s">
        <v>33</v>
      </c>
      <c r="E9" s="4">
        <v>450</v>
      </c>
      <c r="F9" s="5"/>
      <c r="G9" s="4" t="s">
        <v>37</v>
      </c>
      <c r="H9" s="4" t="s">
        <v>37</v>
      </c>
      <c r="I9" s="4">
        <v>0</v>
      </c>
      <c r="J9" s="4" t="s">
        <v>37</v>
      </c>
      <c r="K9" s="4">
        <f t="shared" si="1"/>
        <v>450</v>
      </c>
      <c r="L9" s="5"/>
    </row>
    <row r="10" spans="1:12" x14ac:dyDescent="0.25">
      <c r="A10" s="5" t="s">
        <v>843</v>
      </c>
      <c r="B10" s="5" t="s">
        <v>486</v>
      </c>
      <c r="C10" s="5" t="s">
        <v>27</v>
      </c>
      <c r="D10" s="5" t="s">
        <v>33</v>
      </c>
      <c r="E10" s="4">
        <v>600</v>
      </c>
      <c r="F10" s="5"/>
      <c r="G10" s="4" t="s">
        <v>37</v>
      </c>
      <c r="H10" s="4" t="s">
        <v>37</v>
      </c>
      <c r="I10" s="4">
        <v>0</v>
      </c>
      <c r="J10" s="4">
        <v>0</v>
      </c>
      <c r="K10" s="4">
        <f t="shared" si="1"/>
        <v>600</v>
      </c>
      <c r="L10" s="5"/>
    </row>
    <row r="11" spans="1:12" x14ac:dyDescent="0.25">
      <c r="A11" s="5" t="s">
        <v>843</v>
      </c>
      <c r="B11" s="5" t="s">
        <v>844</v>
      </c>
      <c r="C11" s="5" t="s">
        <v>27</v>
      </c>
      <c r="D11" s="5" t="s">
        <v>33</v>
      </c>
      <c r="E11" s="4">
        <f>1450</f>
        <v>1450</v>
      </c>
      <c r="F11" s="5"/>
      <c r="G11" s="4" t="s">
        <v>845</v>
      </c>
      <c r="H11" s="4" t="s">
        <v>846</v>
      </c>
      <c r="I11" s="4">
        <v>900</v>
      </c>
      <c r="J11" s="4" t="s">
        <v>65</v>
      </c>
      <c r="K11" s="4">
        <f t="shared" si="1"/>
        <v>550</v>
      </c>
      <c r="L11" s="5"/>
    </row>
    <row r="12" spans="1:12" x14ac:dyDescent="0.25">
      <c r="A12" s="5" t="s">
        <v>847</v>
      </c>
      <c r="B12" s="5" t="s">
        <v>848</v>
      </c>
      <c r="C12" s="5" t="s">
        <v>27</v>
      </c>
      <c r="D12" s="5" t="s">
        <v>33</v>
      </c>
      <c r="E12" s="4">
        <v>600</v>
      </c>
      <c r="F12" s="5"/>
      <c r="G12" s="4" t="s">
        <v>37</v>
      </c>
      <c r="H12" s="4" t="s">
        <v>37</v>
      </c>
      <c r="I12" s="4">
        <v>0</v>
      </c>
      <c r="J12" s="4" t="s">
        <v>37</v>
      </c>
      <c r="K12" s="4">
        <f t="shared" si="1"/>
        <v>600</v>
      </c>
      <c r="L12" s="5"/>
    </row>
    <row r="13" spans="1:12" x14ac:dyDescent="0.25">
      <c r="A13" s="5" t="s">
        <v>847</v>
      </c>
      <c r="B13" s="5" t="s">
        <v>849</v>
      </c>
      <c r="C13" s="5" t="s">
        <v>27</v>
      </c>
      <c r="D13" s="5" t="s">
        <v>33</v>
      </c>
      <c r="E13" s="4">
        <v>600</v>
      </c>
      <c r="F13" s="18"/>
      <c r="G13" s="4" t="s">
        <v>37</v>
      </c>
      <c r="H13" s="4" t="s">
        <v>37</v>
      </c>
      <c r="I13" s="4">
        <v>0</v>
      </c>
      <c r="J13" s="4" t="s">
        <v>37</v>
      </c>
      <c r="K13" s="4">
        <f t="shared" ref="K13:K20" si="2">E13-I13</f>
        <v>600</v>
      </c>
      <c r="L13" s="5"/>
    </row>
    <row r="14" spans="1:12" x14ac:dyDescent="0.25">
      <c r="A14" s="5" t="s">
        <v>850</v>
      </c>
      <c r="B14" s="5" t="s">
        <v>851</v>
      </c>
      <c r="C14" s="5" t="s">
        <v>27</v>
      </c>
      <c r="D14" s="5" t="s">
        <v>33</v>
      </c>
      <c r="E14" s="4">
        <v>750</v>
      </c>
      <c r="F14" s="18"/>
      <c r="G14" s="4" t="s">
        <v>37</v>
      </c>
      <c r="H14" s="4" t="s">
        <v>843</v>
      </c>
      <c r="I14" s="4">
        <v>350</v>
      </c>
      <c r="J14" s="4" t="s">
        <v>403</v>
      </c>
      <c r="K14" s="4">
        <f t="shared" si="2"/>
        <v>400</v>
      </c>
      <c r="L14" s="5"/>
    </row>
    <row r="15" spans="1:12" x14ac:dyDescent="0.25">
      <c r="A15" s="5" t="s">
        <v>852</v>
      </c>
      <c r="B15" s="5" t="s">
        <v>853</v>
      </c>
      <c r="C15" s="5" t="s">
        <v>27</v>
      </c>
      <c r="D15" s="5" t="s">
        <v>33</v>
      </c>
      <c r="E15" s="4">
        <v>950</v>
      </c>
      <c r="F15" s="18"/>
      <c r="G15" s="4" t="s">
        <v>37</v>
      </c>
      <c r="H15" s="4" t="s">
        <v>852</v>
      </c>
      <c r="I15" s="4">
        <v>0</v>
      </c>
      <c r="J15" s="4" t="s">
        <v>37</v>
      </c>
      <c r="K15" s="4">
        <f t="shared" si="2"/>
        <v>950</v>
      </c>
      <c r="L15" s="5"/>
    </row>
    <row r="16" spans="1:12" x14ac:dyDescent="0.25">
      <c r="A16" s="5" t="s">
        <v>852</v>
      </c>
      <c r="B16" s="5" t="s">
        <v>854</v>
      </c>
      <c r="C16" s="5" t="s">
        <v>27</v>
      </c>
      <c r="D16" s="5" t="s">
        <v>33</v>
      </c>
      <c r="E16" s="4">
        <v>800</v>
      </c>
      <c r="F16" s="18"/>
      <c r="G16" s="4" t="s">
        <v>37</v>
      </c>
      <c r="H16" s="4" t="s">
        <v>37</v>
      </c>
      <c r="I16" s="4">
        <v>0</v>
      </c>
      <c r="J16" s="4" t="s">
        <v>37</v>
      </c>
      <c r="K16" s="4">
        <f t="shared" si="2"/>
        <v>800</v>
      </c>
      <c r="L16" s="5"/>
    </row>
    <row r="17" spans="1:21" x14ac:dyDescent="0.25">
      <c r="A17" s="5" t="s">
        <v>852</v>
      </c>
      <c r="B17" s="5" t="s">
        <v>855</v>
      </c>
      <c r="C17" s="5" t="s">
        <v>27</v>
      </c>
      <c r="D17" s="5" t="s">
        <v>33</v>
      </c>
      <c r="E17" s="4">
        <v>800</v>
      </c>
      <c r="F17" s="18"/>
      <c r="G17" s="4" t="s">
        <v>37</v>
      </c>
      <c r="H17" s="4" t="s">
        <v>37</v>
      </c>
      <c r="I17" s="4">
        <v>0</v>
      </c>
      <c r="J17" s="4" t="s">
        <v>37</v>
      </c>
      <c r="K17" s="4">
        <f t="shared" si="2"/>
        <v>800</v>
      </c>
      <c r="L17" s="5"/>
    </row>
    <row r="18" spans="1:21" x14ac:dyDescent="0.25">
      <c r="A18" s="5" t="s">
        <v>856</v>
      </c>
      <c r="B18" s="5" t="s">
        <v>857</v>
      </c>
      <c r="C18" s="5" t="s">
        <v>27</v>
      </c>
      <c r="D18" s="5" t="s">
        <v>33</v>
      </c>
      <c r="E18" s="4">
        <v>8285</v>
      </c>
      <c r="F18" s="18"/>
      <c r="G18" s="4" t="s">
        <v>858</v>
      </c>
      <c r="H18" s="4" t="s">
        <v>856</v>
      </c>
      <c r="I18" s="4">
        <v>6463</v>
      </c>
      <c r="J18" s="4" t="s">
        <v>66</v>
      </c>
      <c r="K18" s="4">
        <f t="shared" si="2"/>
        <v>1822</v>
      </c>
      <c r="L18" s="5"/>
    </row>
    <row r="19" spans="1:21" x14ac:dyDescent="0.25">
      <c r="A19" s="5" t="s">
        <v>856</v>
      </c>
      <c r="B19" s="5" t="s">
        <v>859</v>
      </c>
      <c r="C19" s="5" t="s">
        <v>27</v>
      </c>
      <c r="D19" s="5" t="s">
        <v>860</v>
      </c>
      <c r="E19" s="4">
        <v>1200</v>
      </c>
      <c r="F19" s="18"/>
      <c r="G19" s="4" t="s">
        <v>37</v>
      </c>
      <c r="H19" s="4" t="s">
        <v>37</v>
      </c>
      <c r="I19" s="4">
        <v>0</v>
      </c>
      <c r="J19" s="4" t="s">
        <v>37</v>
      </c>
      <c r="K19" s="4">
        <f t="shared" si="2"/>
        <v>1200</v>
      </c>
      <c r="L19" s="5"/>
    </row>
    <row r="20" spans="1:21" x14ac:dyDescent="0.25">
      <c r="A20" s="5" t="s">
        <v>861</v>
      </c>
      <c r="B20" s="5" t="s">
        <v>864</v>
      </c>
      <c r="C20" s="5" t="s">
        <v>27</v>
      </c>
      <c r="D20" s="5" t="s">
        <v>33</v>
      </c>
      <c r="E20" s="4">
        <v>1700</v>
      </c>
      <c r="F20" s="18"/>
      <c r="G20" s="4" t="s">
        <v>131</v>
      </c>
      <c r="H20" s="4" t="s">
        <v>861</v>
      </c>
      <c r="I20" s="4">
        <v>600</v>
      </c>
      <c r="J20" s="4" t="s">
        <v>66</v>
      </c>
      <c r="K20" s="4">
        <f t="shared" si="2"/>
        <v>1100</v>
      </c>
      <c r="L20" s="5"/>
    </row>
    <row r="21" spans="1:21" x14ac:dyDescent="0.25">
      <c r="A21" s="5" t="s">
        <v>861</v>
      </c>
      <c r="B21" s="5" t="s">
        <v>862</v>
      </c>
      <c r="C21" s="5" t="s">
        <v>27</v>
      </c>
      <c r="D21" s="5" t="s">
        <v>33</v>
      </c>
      <c r="E21" s="4">
        <v>150</v>
      </c>
      <c r="F21" s="18"/>
      <c r="G21" s="4" t="s">
        <v>863</v>
      </c>
      <c r="H21" s="4" t="s">
        <v>37</v>
      </c>
      <c r="I21" s="4">
        <v>0</v>
      </c>
      <c r="J21" s="4" t="s">
        <v>37</v>
      </c>
      <c r="K21" s="4">
        <f>E21-I21</f>
        <v>150</v>
      </c>
      <c r="L21" s="5"/>
    </row>
    <row r="22" spans="1:21" x14ac:dyDescent="0.25">
      <c r="A22" s="5" t="s">
        <v>861</v>
      </c>
      <c r="B22" s="5" t="s">
        <v>865</v>
      </c>
      <c r="C22" s="5" t="s">
        <v>27</v>
      </c>
      <c r="D22" s="5" t="s">
        <v>33</v>
      </c>
      <c r="E22" s="4">
        <v>1700</v>
      </c>
      <c r="F22" s="18"/>
      <c r="G22" s="4" t="s">
        <v>131</v>
      </c>
      <c r="H22" s="4" t="s">
        <v>861</v>
      </c>
      <c r="I22" s="4">
        <v>600</v>
      </c>
      <c r="J22" s="4" t="s">
        <v>66</v>
      </c>
      <c r="K22" s="4">
        <f t="shared" ref="K22:K26" si="3">E22-I22</f>
        <v>1100</v>
      </c>
      <c r="L22" s="5"/>
      <c r="O22" s="10"/>
      <c r="P22" s="16"/>
      <c r="Q22" s="10"/>
      <c r="R22" s="10"/>
      <c r="S22" s="10"/>
      <c r="T22" s="10"/>
      <c r="U22" s="10"/>
    </row>
    <row r="23" spans="1:21" x14ac:dyDescent="0.25">
      <c r="A23" s="5" t="s">
        <v>866</v>
      </c>
      <c r="B23" s="5" t="s">
        <v>867</v>
      </c>
      <c r="C23" s="5" t="s">
        <v>27</v>
      </c>
      <c r="D23" s="5" t="s">
        <v>33</v>
      </c>
      <c r="E23" s="4">
        <v>1900</v>
      </c>
      <c r="F23" s="18"/>
      <c r="G23" s="4" t="s">
        <v>868</v>
      </c>
      <c r="H23" s="4" t="s">
        <v>866</v>
      </c>
      <c r="I23" s="4">
        <v>800</v>
      </c>
      <c r="J23" s="4" t="s">
        <v>83</v>
      </c>
      <c r="K23" s="4">
        <f t="shared" si="3"/>
        <v>1100</v>
      </c>
      <c r="L23" s="5"/>
    </row>
    <row r="24" spans="1:21" x14ac:dyDescent="0.25">
      <c r="A24" s="5" t="s">
        <v>866</v>
      </c>
      <c r="B24" s="5" t="s">
        <v>869</v>
      </c>
      <c r="C24" s="5" t="s">
        <v>27</v>
      </c>
      <c r="D24" s="5" t="s">
        <v>33</v>
      </c>
      <c r="E24" s="4">
        <v>1700</v>
      </c>
      <c r="F24" s="18"/>
      <c r="G24" s="4" t="s">
        <v>131</v>
      </c>
      <c r="H24" s="4" t="s">
        <v>866</v>
      </c>
      <c r="I24" s="4">
        <v>600</v>
      </c>
      <c r="J24" s="4" t="s">
        <v>66</v>
      </c>
      <c r="K24" s="4">
        <f t="shared" si="3"/>
        <v>1100</v>
      </c>
      <c r="L24" s="5"/>
    </row>
    <row r="25" spans="1:21" x14ac:dyDescent="0.25">
      <c r="A25" s="5" t="s">
        <v>866</v>
      </c>
      <c r="B25" s="5" t="s">
        <v>873</v>
      </c>
      <c r="C25" s="5" t="s">
        <v>27</v>
      </c>
      <c r="D25" s="5" t="s">
        <v>33</v>
      </c>
      <c r="E25" s="4">
        <v>1750</v>
      </c>
      <c r="F25" s="18"/>
      <c r="G25" s="4" t="s">
        <v>75</v>
      </c>
      <c r="H25" s="4" t="s">
        <v>866</v>
      </c>
      <c r="I25" s="4">
        <v>450</v>
      </c>
      <c r="J25" s="4" t="s">
        <v>66</v>
      </c>
      <c r="K25" s="4">
        <f t="shared" si="3"/>
        <v>1300</v>
      </c>
      <c r="L25" s="5"/>
    </row>
    <row r="26" spans="1:21" x14ac:dyDescent="0.25">
      <c r="A26" s="24" t="s">
        <v>866</v>
      </c>
      <c r="B26" s="24" t="s">
        <v>870</v>
      </c>
      <c r="C26" s="24" t="s">
        <v>27</v>
      </c>
      <c r="D26" s="24" t="s">
        <v>33</v>
      </c>
      <c r="E26" s="25" t="s">
        <v>886</v>
      </c>
      <c r="F26" s="26"/>
      <c r="G26" s="25" t="s">
        <v>37</v>
      </c>
      <c r="H26" s="25" t="s">
        <v>37</v>
      </c>
      <c r="I26" s="25">
        <v>0</v>
      </c>
      <c r="J26" s="25" t="s">
        <v>37</v>
      </c>
      <c r="K26" s="25" t="e">
        <f t="shared" si="3"/>
        <v>#VALUE!</v>
      </c>
      <c r="L26" s="24"/>
    </row>
    <row r="27" spans="1:21" x14ac:dyDescent="0.25">
      <c r="A27" s="5" t="s">
        <v>866</v>
      </c>
      <c r="B27" s="5" t="s">
        <v>871</v>
      </c>
      <c r="C27" s="5" t="s">
        <v>27</v>
      </c>
      <c r="D27" s="5" t="s">
        <v>33</v>
      </c>
      <c r="E27" s="4">
        <v>750</v>
      </c>
      <c r="F27" s="18"/>
      <c r="G27" s="4" t="s">
        <v>37</v>
      </c>
      <c r="H27" s="4" t="s">
        <v>37</v>
      </c>
      <c r="I27" s="4">
        <v>0</v>
      </c>
      <c r="J27" s="4" t="s">
        <v>37</v>
      </c>
      <c r="K27" s="4">
        <f t="shared" ref="K27:K30" si="4">E27-I27</f>
        <v>750</v>
      </c>
      <c r="L27" s="5"/>
    </row>
    <row r="28" spans="1:21" x14ac:dyDescent="0.25">
      <c r="A28" s="5" t="s">
        <v>866</v>
      </c>
      <c r="B28" s="5" t="s">
        <v>872</v>
      </c>
      <c r="C28" s="5" t="s">
        <v>27</v>
      </c>
      <c r="D28" s="5" t="s">
        <v>33</v>
      </c>
      <c r="E28" s="4">
        <v>750</v>
      </c>
      <c r="F28" s="18"/>
      <c r="G28" s="4" t="s">
        <v>37</v>
      </c>
      <c r="H28" s="4" t="s">
        <v>866</v>
      </c>
      <c r="I28" s="4">
        <v>350</v>
      </c>
      <c r="J28" s="4" t="s">
        <v>403</v>
      </c>
      <c r="K28" s="4">
        <f t="shared" si="4"/>
        <v>400</v>
      </c>
      <c r="L28" s="5"/>
    </row>
    <row r="29" spans="1:21" x14ac:dyDescent="0.25">
      <c r="A29" s="5" t="s">
        <v>874</v>
      </c>
      <c r="B29" s="5" t="s">
        <v>875</v>
      </c>
      <c r="C29" s="5" t="s">
        <v>27</v>
      </c>
      <c r="D29" s="5" t="s">
        <v>33</v>
      </c>
      <c r="E29" s="4">
        <v>1100</v>
      </c>
      <c r="F29" s="18"/>
      <c r="G29" s="4" t="s">
        <v>37</v>
      </c>
      <c r="H29" s="4" t="s">
        <v>37</v>
      </c>
      <c r="I29" s="4">
        <v>0</v>
      </c>
      <c r="J29" s="4" t="s">
        <v>37</v>
      </c>
      <c r="K29" s="4">
        <f t="shared" si="4"/>
        <v>1100</v>
      </c>
      <c r="L29" s="5"/>
    </row>
    <row r="30" spans="1:21" x14ac:dyDescent="0.25">
      <c r="A30" s="5" t="s">
        <v>874</v>
      </c>
      <c r="B30" s="5" t="s">
        <v>876</v>
      </c>
      <c r="C30" s="5" t="s">
        <v>27</v>
      </c>
      <c r="D30" s="5" t="s">
        <v>33</v>
      </c>
      <c r="E30" s="4">
        <v>150</v>
      </c>
      <c r="F30" s="18"/>
      <c r="G30" s="4" t="s">
        <v>37</v>
      </c>
      <c r="H30" s="4" t="s">
        <v>37</v>
      </c>
      <c r="I30" s="4">
        <v>0</v>
      </c>
      <c r="J30" s="4" t="s">
        <v>37</v>
      </c>
      <c r="K30" s="4">
        <f t="shared" si="4"/>
        <v>150</v>
      </c>
      <c r="L30" s="5"/>
    </row>
    <row r="31" spans="1:21" x14ac:dyDescent="0.25">
      <c r="A31" s="5" t="s">
        <v>874</v>
      </c>
      <c r="B31" s="5" t="s">
        <v>78</v>
      </c>
      <c r="C31" s="5" t="s">
        <v>27</v>
      </c>
      <c r="D31" s="5" t="s">
        <v>33</v>
      </c>
      <c r="E31" s="4">
        <v>300</v>
      </c>
      <c r="F31" s="18"/>
      <c r="G31" s="4" t="s">
        <v>37</v>
      </c>
      <c r="H31" s="4" t="s">
        <v>37</v>
      </c>
      <c r="I31" s="4">
        <v>0</v>
      </c>
      <c r="J31" s="4" t="s">
        <v>37</v>
      </c>
      <c r="K31" s="4">
        <f t="shared" ref="K31:K33" si="5">E31-I31</f>
        <v>300</v>
      </c>
      <c r="L31" s="5"/>
    </row>
    <row r="32" spans="1:21" x14ac:dyDescent="0.25">
      <c r="A32" s="9" t="s">
        <v>874</v>
      </c>
      <c r="B32" s="9" t="s">
        <v>877</v>
      </c>
      <c r="C32" s="9" t="s">
        <v>27</v>
      </c>
      <c r="D32" s="9" t="s">
        <v>33</v>
      </c>
      <c r="E32" s="10">
        <v>300</v>
      </c>
      <c r="F32" s="16"/>
      <c r="G32" s="10" t="s">
        <v>37</v>
      </c>
      <c r="H32" s="10" t="s">
        <v>37</v>
      </c>
      <c r="I32" s="10">
        <v>0</v>
      </c>
      <c r="J32" s="10" t="s">
        <v>37</v>
      </c>
      <c r="K32" s="10">
        <f t="shared" si="5"/>
        <v>300</v>
      </c>
    </row>
    <row r="33" spans="1:12" x14ac:dyDescent="0.25">
      <c r="A33" s="5" t="s">
        <v>878</v>
      </c>
      <c r="B33" s="5" t="s">
        <v>882</v>
      </c>
      <c r="C33" s="5" t="s">
        <v>27</v>
      </c>
      <c r="D33" s="5" t="s">
        <v>33</v>
      </c>
      <c r="E33" s="4">
        <v>2150</v>
      </c>
      <c r="F33" s="18"/>
      <c r="G33" s="4" t="s">
        <v>131</v>
      </c>
      <c r="H33" s="4" t="s">
        <v>878</v>
      </c>
      <c r="I33" s="4">
        <v>600</v>
      </c>
      <c r="J33" s="4" t="s">
        <v>66</v>
      </c>
      <c r="K33" s="4">
        <f t="shared" si="5"/>
        <v>1550</v>
      </c>
      <c r="L33" s="5"/>
    </row>
    <row r="34" spans="1:12" x14ac:dyDescent="0.25">
      <c r="A34" s="5" t="s">
        <v>878</v>
      </c>
      <c r="B34" s="5" t="s">
        <v>881</v>
      </c>
      <c r="C34" s="5" t="s">
        <v>27</v>
      </c>
      <c r="D34" s="5" t="s">
        <v>668</v>
      </c>
      <c r="E34" s="4">
        <v>2600</v>
      </c>
      <c r="F34" s="18"/>
      <c r="G34" s="4" t="s">
        <v>763</v>
      </c>
      <c r="H34" s="4" t="s">
        <v>878</v>
      </c>
      <c r="I34" s="4">
        <v>600</v>
      </c>
      <c r="J34" s="4" t="s">
        <v>66</v>
      </c>
      <c r="K34" s="4">
        <f t="shared" ref="K34:K44" si="6">E34-I34</f>
        <v>2000</v>
      </c>
      <c r="L34" s="5"/>
    </row>
    <row r="35" spans="1:12" x14ac:dyDescent="0.25">
      <c r="A35" s="5" t="s">
        <v>878</v>
      </c>
      <c r="B35" s="5" t="s">
        <v>879</v>
      </c>
      <c r="C35" s="5" t="s">
        <v>27</v>
      </c>
      <c r="D35" s="5" t="s">
        <v>33</v>
      </c>
      <c r="E35" s="4">
        <v>600</v>
      </c>
      <c r="F35" s="18"/>
      <c r="G35" s="4" t="s">
        <v>37</v>
      </c>
      <c r="H35" s="4" t="s">
        <v>37</v>
      </c>
      <c r="I35" s="4">
        <v>0</v>
      </c>
      <c r="J35" s="4" t="s">
        <v>37</v>
      </c>
      <c r="K35" s="4">
        <f t="shared" si="6"/>
        <v>600</v>
      </c>
      <c r="L35" s="5"/>
    </row>
    <row r="36" spans="1:12" x14ac:dyDescent="0.25">
      <c r="A36" s="5" t="s">
        <v>878</v>
      </c>
      <c r="B36" s="5" t="s">
        <v>880</v>
      </c>
      <c r="C36" s="5" t="s">
        <v>27</v>
      </c>
      <c r="D36" s="5" t="s">
        <v>33</v>
      </c>
      <c r="E36" s="4">
        <v>1400</v>
      </c>
      <c r="F36" s="18"/>
      <c r="G36" s="4" t="s">
        <v>75</v>
      </c>
      <c r="H36" s="4" t="s">
        <v>878</v>
      </c>
      <c r="I36" s="4">
        <v>450</v>
      </c>
      <c r="J36" s="4" t="s">
        <v>66</v>
      </c>
      <c r="K36" s="4">
        <f t="shared" si="6"/>
        <v>950</v>
      </c>
      <c r="L36" s="5"/>
    </row>
    <row r="37" spans="1:12" x14ac:dyDescent="0.25">
      <c r="A37" s="5" t="s">
        <v>883</v>
      </c>
      <c r="B37" s="5" t="s">
        <v>884</v>
      </c>
      <c r="C37" s="5" t="s">
        <v>27</v>
      </c>
      <c r="D37" s="5" t="s">
        <v>33</v>
      </c>
      <c r="E37" s="4">
        <v>750</v>
      </c>
      <c r="F37" s="18"/>
      <c r="G37" s="4" t="s">
        <v>37</v>
      </c>
      <c r="H37" s="4" t="s">
        <v>883</v>
      </c>
      <c r="I37" s="4">
        <v>300</v>
      </c>
      <c r="J37" s="4" t="s">
        <v>403</v>
      </c>
      <c r="K37" s="4">
        <f t="shared" si="6"/>
        <v>450</v>
      </c>
      <c r="L37" s="5"/>
    </row>
    <row r="38" spans="1:12" x14ac:dyDescent="0.25">
      <c r="A38" s="5" t="s">
        <v>883</v>
      </c>
      <c r="B38" s="5" t="s">
        <v>885</v>
      </c>
      <c r="C38" s="5" t="s">
        <v>27</v>
      </c>
      <c r="D38" s="5" t="s">
        <v>33</v>
      </c>
      <c r="E38" s="4" t="s">
        <v>886</v>
      </c>
      <c r="F38" s="18"/>
      <c r="G38" s="4"/>
      <c r="H38" s="4"/>
      <c r="I38" s="4"/>
      <c r="J38" s="4"/>
      <c r="K38" s="4" t="e">
        <f t="shared" si="6"/>
        <v>#VALUE!</v>
      </c>
      <c r="L38" s="5"/>
    </row>
    <row r="39" spans="1:12" x14ac:dyDescent="0.25">
      <c r="A39" s="5" t="s">
        <v>883</v>
      </c>
      <c r="B39" s="5" t="s">
        <v>887</v>
      </c>
      <c r="C39" s="5" t="s">
        <v>27</v>
      </c>
      <c r="D39" s="5" t="s">
        <v>33</v>
      </c>
      <c r="E39" s="4">
        <v>1750</v>
      </c>
      <c r="F39" s="18"/>
      <c r="G39" s="4" t="s">
        <v>888</v>
      </c>
      <c r="H39" s="4" t="s">
        <v>883</v>
      </c>
      <c r="I39" s="4">
        <v>1100</v>
      </c>
      <c r="J39" s="4" t="s">
        <v>889</v>
      </c>
      <c r="K39" s="4">
        <f t="shared" si="6"/>
        <v>650</v>
      </c>
      <c r="L39" s="5"/>
    </row>
    <row r="40" spans="1:12" x14ac:dyDescent="0.25">
      <c r="A40" s="5" t="s">
        <v>890</v>
      </c>
      <c r="B40" s="5" t="s">
        <v>891</v>
      </c>
      <c r="C40" s="5" t="s">
        <v>27</v>
      </c>
      <c r="D40" s="5" t="s">
        <v>33</v>
      </c>
      <c r="E40" s="4">
        <v>850</v>
      </c>
      <c r="F40" s="18"/>
      <c r="G40" s="4" t="s">
        <v>37</v>
      </c>
      <c r="H40" s="4" t="s">
        <v>37</v>
      </c>
      <c r="I40" s="4">
        <v>0</v>
      </c>
      <c r="J40" s="4" t="s">
        <v>37</v>
      </c>
      <c r="K40" s="4">
        <f t="shared" si="6"/>
        <v>850</v>
      </c>
      <c r="L40" s="5"/>
    </row>
    <row r="41" spans="1:12" x14ac:dyDescent="0.25">
      <c r="A41" s="5" t="s">
        <v>892</v>
      </c>
      <c r="B41" s="5" t="s">
        <v>893</v>
      </c>
      <c r="C41" s="5" t="s">
        <v>27</v>
      </c>
      <c r="D41" s="5" t="s">
        <v>33</v>
      </c>
      <c r="E41" s="4">
        <v>1600</v>
      </c>
      <c r="F41" s="18"/>
      <c r="G41" s="4" t="s">
        <v>37</v>
      </c>
      <c r="H41" s="4" t="s">
        <v>37</v>
      </c>
      <c r="I41" s="4">
        <v>0</v>
      </c>
      <c r="J41" s="4" t="s">
        <v>37</v>
      </c>
      <c r="K41" s="4">
        <f t="shared" si="6"/>
        <v>1600</v>
      </c>
      <c r="L41" s="5"/>
    </row>
    <row r="42" spans="1:12" x14ac:dyDescent="0.25">
      <c r="A42" s="5" t="s">
        <v>834</v>
      </c>
      <c r="B42" s="5" t="s">
        <v>917</v>
      </c>
      <c r="C42" s="5" t="s">
        <v>27</v>
      </c>
      <c r="D42" s="5" t="s">
        <v>33</v>
      </c>
      <c r="E42" s="4">
        <v>1900</v>
      </c>
      <c r="F42" s="18"/>
      <c r="G42" s="4" t="s">
        <v>894</v>
      </c>
      <c r="H42" s="4" t="s">
        <v>834</v>
      </c>
      <c r="I42" s="4">
        <v>1199</v>
      </c>
      <c r="J42" s="4" t="s">
        <v>896</v>
      </c>
      <c r="K42" s="4">
        <f t="shared" si="6"/>
        <v>701</v>
      </c>
      <c r="L42" s="5"/>
    </row>
    <row r="43" spans="1:12" x14ac:dyDescent="0.25">
      <c r="A43" s="9" t="s">
        <v>834</v>
      </c>
      <c r="B43" s="9" t="s">
        <v>895</v>
      </c>
      <c r="C43" s="9" t="s">
        <v>27</v>
      </c>
      <c r="D43" s="9" t="s">
        <v>33</v>
      </c>
      <c r="E43" s="10">
        <v>1400</v>
      </c>
      <c r="F43" s="16"/>
      <c r="G43" s="10" t="s">
        <v>192</v>
      </c>
      <c r="H43" s="10" t="s">
        <v>834</v>
      </c>
      <c r="I43" s="10">
        <v>849</v>
      </c>
      <c r="J43" s="10" t="s">
        <v>896</v>
      </c>
      <c r="K43" s="10">
        <f t="shared" si="6"/>
        <v>551</v>
      </c>
    </row>
    <row r="44" spans="1:12" ht="16.5" customHeight="1" x14ac:dyDescent="0.25">
      <c r="A44" s="5" t="s">
        <v>835</v>
      </c>
      <c r="B44" s="5" t="s">
        <v>897</v>
      </c>
      <c r="C44" s="5" t="s">
        <v>27</v>
      </c>
      <c r="D44" s="5" t="s">
        <v>33</v>
      </c>
      <c r="E44" s="4">
        <v>2700</v>
      </c>
      <c r="F44" s="18"/>
      <c r="G44" s="4" t="s">
        <v>898</v>
      </c>
      <c r="H44" s="4" t="s">
        <v>835</v>
      </c>
      <c r="I44" s="4">
        <v>1208</v>
      </c>
      <c r="J44" s="4" t="s">
        <v>899</v>
      </c>
      <c r="K44" s="4">
        <f t="shared" si="6"/>
        <v>1492</v>
      </c>
      <c r="L44" s="5"/>
    </row>
    <row r="45" spans="1:12" x14ac:dyDescent="0.25">
      <c r="F45" s="16"/>
    </row>
    <row r="46" spans="1:12" s="11" customFormat="1" x14ac:dyDescent="0.25">
      <c r="A46" s="11" t="s">
        <v>836</v>
      </c>
      <c r="E46" s="12"/>
      <c r="F46" s="17"/>
      <c r="G46" s="12"/>
      <c r="I46" s="12"/>
      <c r="K46" s="12"/>
    </row>
    <row r="47" spans="1:12" x14ac:dyDescent="0.25">
      <c r="F47" s="16"/>
    </row>
    <row r="48" spans="1:12" x14ac:dyDescent="0.25">
      <c r="A48" s="21" t="s">
        <v>831</v>
      </c>
      <c r="B48" s="21" t="s">
        <v>108</v>
      </c>
      <c r="C48" s="22">
        <v>1400</v>
      </c>
      <c r="H48" s="10"/>
      <c r="J48" s="10"/>
    </row>
    <row r="49" spans="1:10" x14ac:dyDescent="0.25">
      <c r="A49" s="21" t="s">
        <v>831</v>
      </c>
      <c r="B49" s="21" t="s">
        <v>297</v>
      </c>
      <c r="C49" s="22">
        <v>1500</v>
      </c>
      <c r="F49" s="16"/>
    </row>
    <row r="50" spans="1:10" x14ac:dyDescent="0.25">
      <c r="A50" s="21" t="s">
        <v>832</v>
      </c>
      <c r="B50" s="21" t="s">
        <v>108</v>
      </c>
      <c r="C50" s="22">
        <v>1500</v>
      </c>
      <c r="F50" s="16"/>
    </row>
    <row r="51" spans="1:10" x14ac:dyDescent="0.25">
      <c r="A51" s="21" t="s">
        <v>832</v>
      </c>
      <c r="B51" s="21" t="s">
        <v>297</v>
      </c>
      <c r="C51" s="22">
        <v>1500</v>
      </c>
      <c r="F51" s="16"/>
      <c r="H51" s="16"/>
    </row>
    <row r="52" spans="1:10" s="10" customFormat="1" x14ac:dyDescent="0.25">
      <c r="A52" s="21" t="s">
        <v>833</v>
      </c>
      <c r="B52" s="21" t="s">
        <v>297</v>
      </c>
      <c r="C52" s="22">
        <v>1500</v>
      </c>
      <c r="D52" s="9"/>
      <c r="F52" s="16"/>
      <c r="H52" s="9"/>
      <c r="J52" s="9"/>
    </row>
    <row r="53" spans="1:10" s="10" customFormat="1" x14ac:dyDescent="0.25">
      <c r="A53" s="21" t="s">
        <v>833</v>
      </c>
      <c r="B53" s="21" t="s">
        <v>108</v>
      </c>
      <c r="C53" s="22">
        <v>1400</v>
      </c>
      <c r="D53" s="9"/>
      <c r="F53" s="16"/>
      <c r="H53" s="9"/>
      <c r="J53" s="9"/>
    </row>
    <row r="54" spans="1:10" s="10" customFormat="1" x14ac:dyDescent="0.25">
      <c r="A54" s="21" t="s">
        <v>788</v>
      </c>
      <c r="B54" s="21" t="s">
        <v>206</v>
      </c>
      <c r="C54" s="22">
        <v>6000</v>
      </c>
      <c r="D54" s="9"/>
      <c r="F54" s="9"/>
      <c r="H54" s="9"/>
      <c r="J54" s="9"/>
    </row>
    <row r="55" spans="1:10" s="10" customFormat="1" x14ac:dyDescent="0.25">
      <c r="A55" s="19" t="s">
        <v>788</v>
      </c>
      <c r="B55" s="19" t="s">
        <v>648</v>
      </c>
      <c r="C55" s="20">
        <v>1000</v>
      </c>
      <c r="D55" s="9"/>
      <c r="F55" s="9"/>
      <c r="H55" s="9"/>
      <c r="J55" s="9"/>
    </row>
    <row r="56" spans="1:10" s="10" customFormat="1" x14ac:dyDescent="0.25">
      <c r="A56" s="21" t="s">
        <v>834</v>
      </c>
      <c r="B56" s="21" t="s">
        <v>108</v>
      </c>
      <c r="C56" s="22">
        <v>1400</v>
      </c>
      <c r="D56" s="9"/>
      <c r="F56" s="16"/>
      <c r="H56" s="9"/>
      <c r="J56" s="9"/>
    </row>
    <row r="57" spans="1:10" s="10" customFormat="1" x14ac:dyDescent="0.25">
      <c r="A57" s="21" t="s">
        <v>834</v>
      </c>
      <c r="B57" s="21" t="s">
        <v>297</v>
      </c>
      <c r="C57" s="22">
        <v>1500</v>
      </c>
      <c r="D57" s="9"/>
      <c r="F57" s="16"/>
      <c r="H57" s="9"/>
      <c r="J57" s="9"/>
    </row>
    <row r="58" spans="1:10" s="10" customFormat="1" x14ac:dyDescent="0.25">
      <c r="A58" s="21" t="s">
        <v>835</v>
      </c>
      <c r="B58" s="21" t="s">
        <v>108</v>
      </c>
      <c r="C58" s="22">
        <v>1400</v>
      </c>
      <c r="D58" s="9"/>
      <c r="F58" s="16"/>
      <c r="H58" s="9"/>
      <c r="J58" s="9"/>
    </row>
    <row r="59" spans="1:10" s="10" customFormat="1" x14ac:dyDescent="0.25">
      <c r="A59" s="21" t="s">
        <v>835</v>
      </c>
      <c r="B59" s="21" t="s">
        <v>297</v>
      </c>
      <c r="C59" s="22">
        <v>1500</v>
      </c>
      <c r="D59" s="9"/>
      <c r="F59" s="16"/>
      <c r="H59" s="9"/>
      <c r="J59" s="9"/>
    </row>
    <row r="60" spans="1:10" s="10" customFormat="1" x14ac:dyDescent="0.25">
      <c r="A60" s="19" t="s">
        <v>835</v>
      </c>
      <c r="B60" s="19" t="s">
        <v>398</v>
      </c>
      <c r="C60" s="20">
        <v>3000</v>
      </c>
      <c r="D60" s="9"/>
      <c r="F60" s="9"/>
      <c r="H60" s="9"/>
      <c r="J60" s="9"/>
    </row>
    <row r="61" spans="1:10" s="10" customFormat="1" x14ac:dyDescent="0.25">
      <c r="A61" s="21" t="s">
        <v>835</v>
      </c>
      <c r="B61" s="21" t="s">
        <v>574</v>
      </c>
      <c r="C61" s="22">
        <v>500</v>
      </c>
      <c r="D61" s="9"/>
      <c r="F61" s="9"/>
      <c r="H61" s="9"/>
      <c r="J61" s="9"/>
    </row>
    <row r="62" spans="1:10" s="10" customFormat="1" x14ac:dyDescent="0.25">
      <c r="A62" s="21" t="s">
        <v>835</v>
      </c>
      <c r="B62" s="5" t="s">
        <v>72</v>
      </c>
      <c r="C62" s="4">
        <v>550</v>
      </c>
      <c r="D62" s="9"/>
      <c r="F62" s="9"/>
      <c r="H62" s="9"/>
      <c r="J62" s="9"/>
    </row>
    <row r="63" spans="1:10" s="10" customFormat="1" x14ac:dyDescent="0.25">
      <c r="A63" s="19"/>
      <c r="B63" s="9"/>
      <c r="D63" s="9"/>
      <c r="F63" s="9"/>
      <c r="H63" s="9"/>
      <c r="J63" s="9"/>
    </row>
    <row r="64" spans="1:10" s="10" customFormat="1" x14ac:dyDescent="0.25">
      <c r="A64" s="9"/>
      <c r="B64" s="9"/>
      <c r="D64" s="9"/>
      <c r="F64" s="9"/>
      <c r="H64" s="9"/>
      <c r="J64" s="9"/>
    </row>
    <row r="65" spans="1:10" s="10" customFormat="1" x14ac:dyDescent="0.25">
      <c r="A65" s="9"/>
      <c r="B65" s="9"/>
      <c r="D65" s="9"/>
      <c r="F65" s="9"/>
      <c r="H65" s="9"/>
      <c r="J65" s="9"/>
    </row>
    <row r="66" spans="1:10" s="10" customFormat="1" x14ac:dyDescent="0.25">
      <c r="A66" s="9"/>
      <c r="B66" s="9"/>
      <c r="D66" s="9"/>
      <c r="F66" s="9"/>
    </row>
    <row r="67" spans="1:10" s="10" customFormat="1" x14ac:dyDescent="0.25">
      <c r="A67" s="9"/>
      <c r="B67" s="9"/>
      <c r="D67" s="9"/>
      <c r="F67" s="9"/>
    </row>
    <row r="68" spans="1:10" s="10" customFormat="1" x14ac:dyDescent="0.25">
      <c r="A68" s="9"/>
      <c r="B68" s="9"/>
      <c r="D68" s="9"/>
      <c r="F68" s="9"/>
    </row>
    <row r="69" spans="1:10" s="10" customFormat="1" x14ac:dyDescent="0.25">
      <c r="A69" s="9"/>
      <c r="B69" s="9"/>
      <c r="D69" s="9"/>
      <c r="F69" s="9"/>
    </row>
    <row r="70" spans="1:10" s="10" customFormat="1" x14ac:dyDescent="0.25">
      <c r="A70" s="9"/>
      <c r="B70" s="9"/>
      <c r="C70" s="9"/>
      <c r="D70" s="9"/>
      <c r="F70" s="9"/>
    </row>
    <row r="71" spans="1:10" s="10" customFormat="1" x14ac:dyDescent="0.25"/>
    <row r="72" spans="1:10" s="10" customFormat="1" x14ac:dyDescent="0.25"/>
    <row r="73" spans="1:10" s="10" customFormat="1" x14ac:dyDescent="0.25"/>
    <row r="74" spans="1:10" s="10" customFormat="1" x14ac:dyDescent="0.25"/>
    <row r="75" spans="1:10" s="10" customFormat="1" x14ac:dyDescent="0.25"/>
    <row r="76" spans="1:10" s="10" customFormat="1" x14ac:dyDescent="0.25"/>
    <row r="77" spans="1:10" s="10" customFormat="1" x14ac:dyDescent="0.25"/>
    <row r="78" spans="1:10" s="10" customFormat="1" x14ac:dyDescent="0.25">
      <c r="H78" s="9"/>
      <c r="J78" s="9"/>
    </row>
    <row r="79" spans="1:10" s="10" customFormat="1" x14ac:dyDescent="0.25">
      <c r="H79" s="9"/>
      <c r="J79" s="9"/>
    </row>
    <row r="80" spans="1:10" s="10" customFormat="1" x14ac:dyDescent="0.25">
      <c r="H80" s="9"/>
      <c r="J80" s="9"/>
    </row>
    <row r="81" spans="1:11" s="10" customFormat="1" x14ac:dyDescent="0.25">
      <c r="H81" s="9"/>
      <c r="J81" s="9"/>
    </row>
    <row r="82" spans="1:11" s="10" customFormat="1" x14ac:dyDescent="0.25">
      <c r="H82" s="9"/>
      <c r="J82" s="9"/>
    </row>
    <row r="83" spans="1:11" s="10" customFormat="1" x14ac:dyDescent="0.25">
      <c r="H83" s="9"/>
      <c r="J83" s="9"/>
    </row>
    <row r="84" spans="1:11" s="10" customFormat="1" x14ac:dyDescent="0.25">
      <c r="H84" s="9"/>
      <c r="J84" s="9"/>
    </row>
    <row r="85" spans="1:11" s="10" customFormat="1" x14ac:dyDescent="0.25">
      <c r="H85" s="9"/>
      <c r="J85" s="9"/>
    </row>
    <row r="86" spans="1:11" s="10" customFormat="1" x14ac:dyDescent="0.25">
      <c r="H86" s="9"/>
      <c r="J86" s="9"/>
    </row>
    <row r="87" spans="1:11" s="10" customFormat="1" x14ac:dyDescent="0.25">
      <c r="H87" s="9"/>
      <c r="J87" s="9"/>
    </row>
    <row r="88" spans="1:11" s="10" customFormat="1" x14ac:dyDescent="0.25">
      <c r="H88" s="9"/>
      <c r="J88" s="9"/>
    </row>
    <row r="89" spans="1:11" s="10" customFormat="1" x14ac:dyDescent="0.25">
      <c r="H89" s="9"/>
      <c r="J89" s="9"/>
    </row>
    <row r="90" spans="1:11" s="10" customFormat="1" x14ac:dyDescent="0.25">
      <c r="H90" s="9"/>
      <c r="J90" s="9"/>
    </row>
    <row r="91" spans="1:11" s="10" customFormat="1" x14ac:dyDescent="0.25">
      <c r="H91" s="9"/>
      <c r="J91" s="9"/>
    </row>
    <row r="92" spans="1:11" s="11" customFormat="1" x14ac:dyDescent="0.25">
      <c r="C92" s="12"/>
      <c r="E92" s="12"/>
      <c r="G92" s="12"/>
      <c r="I92" s="12"/>
      <c r="K92" s="12"/>
    </row>
    <row r="93" spans="1:11" x14ac:dyDescent="0.25">
      <c r="C93" s="10"/>
    </row>
    <row r="94" spans="1:11" x14ac:dyDescent="0.25">
      <c r="A94" s="13"/>
      <c r="C94" s="10"/>
    </row>
    <row r="95" spans="1:11" x14ac:dyDescent="0.25">
      <c r="C95" s="10"/>
    </row>
    <row r="96" spans="1:11" x14ac:dyDescent="0.25">
      <c r="C96" s="10"/>
    </row>
    <row r="97" spans="3:3" x14ac:dyDescent="0.25">
      <c r="C97" s="10"/>
    </row>
    <row r="98" spans="3:3" x14ac:dyDescent="0.25">
      <c r="C98" s="10"/>
    </row>
    <row r="99" spans="3:3" x14ac:dyDescent="0.25">
      <c r="C99" s="10"/>
    </row>
    <row r="100" spans="3:3" x14ac:dyDescent="0.25">
      <c r="C100" s="10"/>
    </row>
    <row r="101" spans="3:3" x14ac:dyDescent="0.25">
      <c r="C101" s="10"/>
    </row>
    <row r="102" spans="3:3" x14ac:dyDescent="0.25">
      <c r="C102" s="10"/>
    </row>
    <row r="103" spans="3:3" x14ac:dyDescent="0.25">
      <c r="C103" s="10"/>
    </row>
    <row r="104" spans="3:3" x14ac:dyDescent="0.25">
      <c r="C104" s="10"/>
    </row>
    <row r="105" spans="3:3" x14ac:dyDescent="0.25">
      <c r="C105" s="10"/>
    </row>
    <row r="106" spans="3:3" x14ac:dyDescent="0.25">
      <c r="C106" s="10"/>
    </row>
    <row r="107" spans="3:3" x14ac:dyDescent="0.25">
      <c r="C107" s="10"/>
    </row>
    <row r="108" spans="3:3" x14ac:dyDescent="0.25">
      <c r="C108" s="10"/>
    </row>
    <row r="109" spans="3:3" x14ac:dyDescent="0.25">
      <c r="C109" s="10"/>
    </row>
    <row r="110" spans="3:3" x14ac:dyDescent="0.25">
      <c r="C110" s="10"/>
    </row>
    <row r="1048576" spans="10:10" x14ac:dyDescent="0.25">
      <c r="J1048576" s="10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1048560"/>
  <sheetViews>
    <sheetView workbookViewId="0">
      <pane ySplit="3" topLeftCell="A4" activePane="bottomLeft" state="frozen"/>
      <selection activeCell="K26" activeCellId="1" sqref="K29:K30 K26"/>
      <selection pane="bottomLeft" activeCell="B13" sqref="B13"/>
    </sheetView>
  </sheetViews>
  <sheetFormatPr baseColWidth="10" defaultColWidth="10.7109375" defaultRowHeight="15" x14ac:dyDescent="0.25"/>
  <cols>
    <col min="1" max="1" width="22.7109375" style="9" customWidth="1"/>
    <col min="2" max="2" width="62.28515625" style="9" customWidth="1"/>
    <col min="3" max="3" width="22.42578125" style="9" customWidth="1"/>
    <col min="4" max="4" width="37.5703125" style="9" customWidth="1"/>
    <col min="5" max="5" width="10.7109375" style="10"/>
    <col min="6" max="6" width="10.7109375" style="9" hidden="1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2" s="11" customFormat="1" x14ac:dyDescent="0.25">
      <c r="A1" s="11" t="s">
        <v>0</v>
      </c>
      <c r="E1" s="12"/>
      <c r="G1" s="12"/>
      <c r="I1" s="12"/>
    </row>
    <row r="3" spans="1:12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12" t="s">
        <v>13</v>
      </c>
    </row>
    <row r="4" spans="1:12" x14ac:dyDescent="0.25">
      <c r="A4" s="5" t="s">
        <v>906</v>
      </c>
      <c r="B4" s="5" t="s">
        <v>907</v>
      </c>
      <c r="C4" s="5" t="s">
        <v>7</v>
      </c>
      <c r="D4" s="5" t="s">
        <v>33</v>
      </c>
      <c r="E4" s="4">
        <v>2450</v>
      </c>
      <c r="F4" s="5"/>
      <c r="G4" s="4" t="s">
        <v>433</v>
      </c>
      <c r="H4" s="4" t="s">
        <v>906</v>
      </c>
      <c r="I4" s="4">
        <v>900</v>
      </c>
      <c r="J4" s="4" t="s">
        <v>908</v>
      </c>
      <c r="K4" s="4">
        <f t="shared" ref="K4:K5" si="0">E4-I4</f>
        <v>1550</v>
      </c>
      <c r="L4" s="5"/>
    </row>
    <row r="5" spans="1:12" x14ac:dyDescent="0.25">
      <c r="A5" s="5" t="s">
        <v>906</v>
      </c>
      <c r="B5" s="5" t="s">
        <v>884</v>
      </c>
      <c r="C5" s="5" t="s">
        <v>7</v>
      </c>
      <c r="D5" s="5" t="s">
        <v>33</v>
      </c>
      <c r="E5" s="4">
        <v>750</v>
      </c>
      <c r="F5" s="5"/>
      <c r="G5" s="4" t="s">
        <v>37</v>
      </c>
      <c r="H5" s="4" t="s">
        <v>37</v>
      </c>
      <c r="I5" s="4">
        <v>300</v>
      </c>
      <c r="J5" s="4" t="s">
        <v>403</v>
      </c>
      <c r="K5" s="4">
        <f t="shared" si="0"/>
        <v>450</v>
      </c>
      <c r="L5" s="5"/>
    </row>
    <row r="6" spans="1:12" x14ac:dyDescent="0.25">
      <c r="A6" s="5" t="s">
        <v>906</v>
      </c>
      <c r="B6" s="5" t="s">
        <v>909</v>
      </c>
      <c r="C6" s="5" t="s">
        <v>7</v>
      </c>
      <c r="D6" s="5" t="s">
        <v>33</v>
      </c>
      <c r="E6" s="4">
        <v>750</v>
      </c>
      <c r="F6" s="5"/>
      <c r="G6" s="4" t="s">
        <v>37</v>
      </c>
      <c r="H6" s="4" t="s">
        <v>37</v>
      </c>
      <c r="I6" s="4">
        <v>300</v>
      </c>
      <c r="J6" s="4" t="s">
        <v>403</v>
      </c>
      <c r="K6" s="4">
        <f t="shared" ref="K6" si="1">E6-I6</f>
        <v>450</v>
      </c>
      <c r="L6" s="5"/>
    </row>
    <row r="7" spans="1:12" x14ac:dyDescent="0.25">
      <c r="A7" s="5" t="s">
        <v>906</v>
      </c>
      <c r="B7" s="5" t="s">
        <v>910</v>
      </c>
      <c r="C7" s="5" t="s">
        <v>27</v>
      </c>
      <c r="D7" s="5" t="s">
        <v>33</v>
      </c>
      <c r="E7" s="4">
        <v>3300</v>
      </c>
      <c r="F7" s="5"/>
      <c r="G7" s="4" t="s">
        <v>911</v>
      </c>
      <c r="H7" s="4" t="s">
        <v>906</v>
      </c>
      <c r="I7" s="4">
        <v>2200</v>
      </c>
      <c r="J7" s="4" t="s">
        <v>912</v>
      </c>
      <c r="K7" s="4">
        <f>E7-I7</f>
        <v>1100</v>
      </c>
      <c r="L7" s="5"/>
    </row>
    <row r="8" spans="1:12" x14ac:dyDescent="0.25">
      <c r="A8" s="5" t="s">
        <v>906</v>
      </c>
      <c r="B8" s="5" t="s">
        <v>913</v>
      </c>
      <c r="C8" s="5" t="s">
        <v>27</v>
      </c>
      <c r="D8" s="5" t="s">
        <v>33</v>
      </c>
      <c r="E8" s="4">
        <v>3700</v>
      </c>
      <c r="F8" s="5"/>
      <c r="G8" s="4" t="s">
        <v>916</v>
      </c>
      <c r="H8" s="4" t="s">
        <v>906</v>
      </c>
      <c r="I8" s="4">
        <v>2648</v>
      </c>
      <c r="J8" s="4"/>
      <c r="K8" s="4">
        <f>E8-I8</f>
        <v>1052</v>
      </c>
      <c r="L8" s="5"/>
    </row>
    <row r="9" spans="1:12" x14ac:dyDescent="0.25">
      <c r="A9" s="5" t="s">
        <v>914</v>
      </c>
      <c r="B9" s="5" t="s">
        <v>915</v>
      </c>
      <c r="C9" s="5" t="s">
        <v>27</v>
      </c>
      <c r="D9" s="5" t="s">
        <v>36</v>
      </c>
      <c r="E9" s="4">
        <v>450</v>
      </c>
      <c r="F9" s="5"/>
      <c r="G9" s="4" t="s">
        <v>37</v>
      </c>
      <c r="H9" s="4" t="s">
        <v>37</v>
      </c>
      <c r="I9" s="4">
        <v>0</v>
      </c>
      <c r="J9" s="4" t="s">
        <v>37</v>
      </c>
      <c r="K9" s="4">
        <f t="shared" ref="K9:K10" si="2">E9-I9</f>
        <v>450</v>
      </c>
      <c r="L9" s="5"/>
    </row>
    <row r="10" spans="1:12" x14ac:dyDescent="0.25">
      <c r="A10" s="5" t="s">
        <v>918</v>
      </c>
      <c r="B10" s="5" t="s">
        <v>919</v>
      </c>
      <c r="C10" s="5" t="s">
        <v>27</v>
      </c>
      <c r="D10" s="5" t="s">
        <v>33</v>
      </c>
      <c r="E10" s="4">
        <v>1200</v>
      </c>
      <c r="F10" s="5"/>
      <c r="G10" s="4" t="s">
        <v>37</v>
      </c>
      <c r="H10" s="4" t="s">
        <v>37</v>
      </c>
      <c r="I10" s="4">
        <v>0</v>
      </c>
      <c r="J10" s="4" t="s">
        <v>37</v>
      </c>
      <c r="K10" s="4">
        <f t="shared" si="2"/>
        <v>1200</v>
      </c>
      <c r="L10" s="5"/>
    </row>
    <row r="11" spans="1:12" x14ac:dyDescent="0.25">
      <c r="A11" s="5" t="s">
        <v>920</v>
      </c>
      <c r="B11" s="5" t="s">
        <v>921</v>
      </c>
      <c r="C11" s="5" t="s">
        <v>27</v>
      </c>
      <c r="D11" s="5" t="s">
        <v>33</v>
      </c>
      <c r="E11" s="4">
        <v>1400</v>
      </c>
      <c r="F11" s="5"/>
      <c r="G11" s="4" t="s">
        <v>37</v>
      </c>
      <c r="H11" s="4" t="s">
        <v>37</v>
      </c>
      <c r="I11" s="4">
        <v>0</v>
      </c>
      <c r="J11" s="4" t="s">
        <v>37</v>
      </c>
      <c r="K11" s="4">
        <f t="shared" ref="K11:K16" si="3">E11-I11</f>
        <v>1400</v>
      </c>
      <c r="L11" s="5"/>
    </row>
    <row r="12" spans="1:12" x14ac:dyDescent="0.25">
      <c r="A12" s="5" t="s">
        <v>920</v>
      </c>
      <c r="B12" s="5" t="s">
        <v>922</v>
      </c>
      <c r="C12" s="5" t="s">
        <v>27</v>
      </c>
      <c r="D12" s="5" t="s">
        <v>33</v>
      </c>
      <c r="E12" s="4">
        <v>9600</v>
      </c>
      <c r="F12" s="5"/>
      <c r="G12" s="4" t="s">
        <v>795</v>
      </c>
      <c r="H12" s="4" t="s">
        <v>920</v>
      </c>
      <c r="I12" s="4">
        <v>7757</v>
      </c>
      <c r="J12" s="4" t="s">
        <v>66</v>
      </c>
      <c r="K12" s="4">
        <f t="shared" si="3"/>
        <v>1843</v>
      </c>
      <c r="L12" s="5"/>
    </row>
    <row r="13" spans="1:12" x14ac:dyDescent="0.25">
      <c r="A13" s="9" t="s">
        <v>923</v>
      </c>
      <c r="B13" s="9" t="s">
        <v>924</v>
      </c>
      <c r="C13" s="9" t="s">
        <v>27</v>
      </c>
      <c r="D13" s="9" t="s">
        <v>33</v>
      </c>
      <c r="E13" s="10">
        <v>1870</v>
      </c>
      <c r="G13" s="10" t="s">
        <v>925</v>
      </c>
      <c r="H13" s="10" t="s">
        <v>923</v>
      </c>
      <c r="I13" s="10">
        <v>1150</v>
      </c>
      <c r="J13" s="10"/>
      <c r="K13" s="10">
        <f t="shared" si="3"/>
        <v>720</v>
      </c>
    </row>
    <row r="14" spans="1:12" x14ac:dyDescent="0.25">
      <c r="A14" s="5" t="s">
        <v>926</v>
      </c>
      <c r="B14" s="5" t="s">
        <v>927</v>
      </c>
      <c r="C14" s="5" t="s">
        <v>27</v>
      </c>
      <c r="D14" s="5" t="s">
        <v>33</v>
      </c>
      <c r="E14" s="4">
        <v>1500</v>
      </c>
      <c r="F14" s="5"/>
      <c r="G14" s="4" t="s">
        <v>75</v>
      </c>
      <c r="H14" s="4" t="s">
        <v>378</v>
      </c>
      <c r="I14" s="4">
        <v>0</v>
      </c>
      <c r="J14" s="4"/>
      <c r="K14" s="4">
        <f t="shared" si="3"/>
        <v>1500</v>
      </c>
    </row>
    <row r="15" spans="1:12" x14ac:dyDescent="0.25">
      <c r="A15" s="5" t="s">
        <v>926</v>
      </c>
      <c r="B15" s="5" t="s">
        <v>928</v>
      </c>
      <c r="C15" s="5" t="s">
        <v>27</v>
      </c>
      <c r="D15" s="5" t="s">
        <v>33</v>
      </c>
      <c r="E15" s="4">
        <v>850</v>
      </c>
      <c r="F15" s="5"/>
      <c r="G15" s="4" t="s">
        <v>37</v>
      </c>
      <c r="H15" s="4" t="s">
        <v>37</v>
      </c>
      <c r="I15" s="4">
        <v>0</v>
      </c>
      <c r="J15" s="4" t="s">
        <v>37</v>
      </c>
      <c r="K15" s="4">
        <f t="shared" si="3"/>
        <v>850</v>
      </c>
      <c r="L15" s="5"/>
    </row>
    <row r="16" spans="1:12" x14ac:dyDescent="0.25">
      <c r="A16" s="5" t="s">
        <v>926</v>
      </c>
      <c r="B16" s="5" t="s">
        <v>944</v>
      </c>
      <c r="C16" s="5" t="s">
        <v>27</v>
      </c>
      <c r="D16" s="5" t="s">
        <v>33</v>
      </c>
      <c r="E16" s="4">
        <f>600+600</f>
        <v>1200</v>
      </c>
      <c r="F16" s="5"/>
      <c r="G16" s="4" t="s">
        <v>37</v>
      </c>
      <c r="H16" s="4" t="s">
        <v>403</v>
      </c>
      <c r="I16" s="4">
        <v>300</v>
      </c>
      <c r="J16" s="4" t="s">
        <v>37</v>
      </c>
      <c r="K16" s="4">
        <f t="shared" si="3"/>
        <v>900</v>
      </c>
      <c r="L16" s="5"/>
    </row>
    <row r="17" spans="1:12" x14ac:dyDescent="0.25">
      <c r="A17" s="5" t="s">
        <v>902</v>
      </c>
      <c r="B17" s="5" t="s">
        <v>929</v>
      </c>
      <c r="C17" s="5" t="s">
        <v>27</v>
      </c>
      <c r="D17" s="5" t="s">
        <v>930</v>
      </c>
      <c r="E17" s="4">
        <v>2300</v>
      </c>
      <c r="F17" s="5"/>
      <c r="G17" s="4" t="s">
        <v>37</v>
      </c>
      <c r="H17" s="4" t="s">
        <v>37</v>
      </c>
      <c r="I17" s="4">
        <v>0</v>
      </c>
      <c r="J17" s="4" t="s">
        <v>37</v>
      </c>
      <c r="K17" s="4">
        <f t="shared" ref="K17:K24" si="4">E17-I17</f>
        <v>2300</v>
      </c>
      <c r="L17" s="5"/>
    </row>
    <row r="18" spans="1:12" x14ac:dyDescent="0.25">
      <c r="A18" s="5" t="s">
        <v>902</v>
      </c>
      <c r="B18" s="5" t="s">
        <v>931</v>
      </c>
      <c r="C18" s="5" t="s">
        <v>27</v>
      </c>
      <c r="D18" s="5" t="s">
        <v>930</v>
      </c>
      <c r="E18" s="4">
        <v>400</v>
      </c>
      <c r="F18" s="5"/>
      <c r="G18" s="4" t="s">
        <v>37</v>
      </c>
      <c r="H18" s="4" t="s">
        <v>37</v>
      </c>
      <c r="I18" s="4">
        <v>0</v>
      </c>
      <c r="J18" s="4" t="s">
        <v>37</v>
      </c>
      <c r="K18" s="4">
        <f t="shared" si="4"/>
        <v>400</v>
      </c>
      <c r="L18" s="5"/>
    </row>
    <row r="19" spans="1:12" x14ac:dyDescent="0.25">
      <c r="A19" s="5" t="s">
        <v>902</v>
      </c>
      <c r="B19" s="5" t="s">
        <v>803</v>
      </c>
      <c r="C19" s="5" t="s">
        <v>27</v>
      </c>
      <c r="D19" s="5" t="s">
        <v>930</v>
      </c>
      <c r="E19" s="4">
        <v>1750</v>
      </c>
      <c r="F19" s="5"/>
      <c r="G19" s="4" t="s">
        <v>37</v>
      </c>
      <c r="H19" s="4" t="s">
        <v>37</v>
      </c>
      <c r="I19" s="4">
        <v>0</v>
      </c>
      <c r="J19" s="4" t="s">
        <v>37</v>
      </c>
      <c r="K19" s="4">
        <f t="shared" si="4"/>
        <v>1750</v>
      </c>
      <c r="L19" s="5"/>
    </row>
    <row r="20" spans="1:12" x14ac:dyDescent="0.25">
      <c r="A20" s="5" t="s">
        <v>932</v>
      </c>
      <c r="B20" s="5" t="s">
        <v>933</v>
      </c>
      <c r="C20" s="5" t="s">
        <v>27</v>
      </c>
      <c r="D20" s="5" t="s">
        <v>33</v>
      </c>
      <c r="E20" s="4">
        <v>350</v>
      </c>
      <c r="F20" s="5"/>
      <c r="G20" s="4" t="s">
        <v>37</v>
      </c>
      <c r="H20" s="4" t="s">
        <v>37</v>
      </c>
      <c r="I20" s="4">
        <v>0</v>
      </c>
      <c r="J20" s="4" t="s">
        <v>37</v>
      </c>
      <c r="K20" s="4">
        <f t="shared" si="4"/>
        <v>350</v>
      </c>
      <c r="L20" s="5"/>
    </row>
    <row r="21" spans="1:12" x14ac:dyDescent="0.25">
      <c r="A21" s="5" t="s">
        <v>934</v>
      </c>
      <c r="B21" s="5" t="s">
        <v>935</v>
      </c>
      <c r="C21" s="5" t="s">
        <v>27</v>
      </c>
      <c r="D21" s="5" t="s">
        <v>33</v>
      </c>
      <c r="E21" s="4">
        <v>600</v>
      </c>
      <c r="F21" s="5"/>
      <c r="G21" s="4" t="s">
        <v>37</v>
      </c>
      <c r="H21" s="4" t="s">
        <v>37</v>
      </c>
      <c r="I21" s="4">
        <v>0</v>
      </c>
      <c r="J21" s="4" t="s">
        <v>37</v>
      </c>
      <c r="K21" s="4">
        <f t="shared" si="4"/>
        <v>600</v>
      </c>
      <c r="L21" s="5"/>
    </row>
    <row r="22" spans="1:12" x14ac:dyDescent="0.25">
      <c r="A22" s="5" t="s">
        <v>934</v>
      </c>
      <c r="B22" s="5" t="s">
        <v>936</v>
      </c>
      <c r="C22" s="5" t="s">
        <v>27</v>
      </c>
      <c r="D22" s="5" t="s">
        <v>533</v>
      </c>
      <c r="E22" s="4">
        <v>400</v>
      </c>
      <c r="F22" s="5"/>
      <c r="G22" s="4" t="s">
        <v>37</v>
      </c>
      <c r="H22" s="4" t="s">
        <v>37</v>
      </c>
      <c r="I22" s="4">
        <v>0</v>
      </c>
      <c r="J22" s="4" t="s">
        <v>37</v>
      </c>
      <c r="K22" s="4">
        <f t="shared" si="4"/>
        <v>400</v>
      </c>
      <c r="L22" s="5"/>
    </row>
    <row r="23" spans="1:12" x14ac:dyDescent="0.25">
      <c r="A23" s="5" t="s">
        <v>934</v>
      </c>
      <c r="B23" s="5" t="s">
        <v>937</v>
      </c>
      <c r="C23" s="5" t="s">
        <v>27</v>
      </c>
      <c r="D23" s="5" t="s">
        <v>533</v>
      </c>
      <c r="E23" s="4">
        <v>1800</v>
      </c>
      <c r="F23" s="5"/>
      <c r="G23" s="4" t="s">
        <v>938</v>
      </c>
      <c r="H23" s="4" t="s">
        <v>934</v>
      </c>
      <c r="I23" s="4">
        <v>350</v>
      </c>
      <c r="J23" s="4" t="s">
        <v>939</v>
      </c>
      <c r="K23" s="4">
        <f t="shared" si="4"/>
        <v>1450</v>
      </c>
      <c r="L23" s="5"/>
    </row>
    <row r="24" spans="1:12" x14ac:dyDescent="0.25">
      <c r="A24" s="5" t="s">
        <v>940</v>
      </c>
      <c r="B24" s="5" t="s">
        <v>941</v>
      </c>
      <c r="C24" s="5" t="s">
        <v>27</v>
      </c>
      <c r="D24" s="5" t="s">
        <v>33</v>
      </c>
      <c r="E24" s="4">
        <v>1850</v>
      </c>
      <c r="F24" s="5"/>
      <c r="G24" s="4" t="s">
        <v>868</v>
      </c>
      <c r="H24" s="4" t="s">
        <v>940</v>
      </c>
      <c r="I24" s="4">
        <v>1000</v>
      </c>
      <c r="J24" s="4" t="s">
        <v>912</v>
      </c>
      <c r="K24" s="4">
        <f t="shared" si="4"/>
        <v>850</v>
      </c>
      <c r="L24" s="5"/>
    </row>
    <row r="25" spans="1:12" x14ac:dyDescent="0.25">
      <c r="A25" s="5" t="s">
        <v>904</v>
      </c>
      <c r="B25" s="5" t="s">
        <v>942</v>
      </c>
      <c r="C25" s="5" t="s">
        <v>27</v>
      </c>
      <c r="D25" s="5" t="s">
        <v>943</v>
      </c>
      <c r="E25" s="4">
        <v>2200</v>
      </c>
      <c r="F25" s="5"/>
      <c r="G25" s="4" t="s">
        <v>37</v>
      </c>
      <c r="H25" s="4" t="s">
        <v>37</v>
      </c>
      <c r="I25" s="4">
        <v>0</v>
      </c>
      <c r="J25" s="4" t="s">
        <v>37</v>
      </c>
      <c r="K25" s="4">
        <f t="shared" ref="K25:K27" si="5">E25-I25</f>
        <v>2200</v>
      </c>
      <c r="L25" s="5"/>
    </row>
    <row r="26" spans="1:12" x14ac:dyDescent="0.25">
      <c r="A26" s="5" t="s">
        <v>905</v>
      </c>
      <c r="B26" s="5" t="s">
        <v>945</v>
      </c>
      <c r="C26" s="5" t="s">
        <v>27</v>
      </c>
      <c r="D26" s="5" t="s">
        <v>33</v>
      </c>
      <c r="E26" s="4">
        <v>1400</v>
      </c>
      <c r="F26" s="5"/>
      <c r="G26" s="4" t="s">
        <v>75</v>
      </c>
      <c r="H26" s="4" t="s">
        <v>905</v>
      </c>
      <c r="I26" s="4">
        <v>500</v>
      </c>
      <c r="J26" s="4" t="s">
        <v>37</v>
      </c>
      <c r="K26" s="4">
        <f t="shared" si="5"/>
        <v>900</v>
      </c>
      <c r="L26" s="5"/>
    </row>
    <row r="27" spans="1:12" x14ac:dyDescent="0.25">
      <c r="A27" s="5" t="s">
        <v>905</v>
      </c>
      <c r="B27" s="5" t="s">
        <v>946</v>
      </c>
      <c r="C27" s="5" t="s">
        <v>27</v>
      </c>
      <c r="D27" s="5" t="s">
        <v>947</v>
      </c>
      <c r="E27" s="4">
        <v>8400</v>
      </c>
      <c r="F27" s="5"/>
      <c r="G27" s="4" t="s">
        <v>955</v>
      </c>
      <c r="H27" s="4" t="s">
        <v>905</v>
      </c>
      <c r="I27" s="4">
        <v>6030</v>
      </c>
      <c r="J27" s="4" t="s">
        <v>37</v>
      </c>
      <c r="K27" s="4">
        <f t="shared" si="5"/>
        <v>2370</v>
      </c>
      <c r="L27" s="5"/>
    </row>
    <row r="28" spans="1:12" x14ac:dyDescent="0.25">
      <c r="H28" s="10"/>
      <c r="J28" s="10"/>
    </row>
    <row r="29" spans="1:12" x14ac:dyDescent="0.25">
      <c r="H29" s="10"/>
      <c r="J29" s="10"/>
    </row>
    <row r="30" spans="1:12" x14ac:dyDescent="0.25">
      <c r="H30" s="10"/>
      <c r="J30" s="10"/>
    </row>
    <row r="31" spans="1:12" x14ac:dyDescent="0.25">
      <c r="F31" s="16"/>
    </row>
    <row r="32" spans="1:12" s="11" customFormat="1" x14ac:dyDescent="0.25">
      <c r="A32" s="11" t="s">
        <v>836</v>
      </c>
      <c r="E32" s="12"/>
      <c r="F32" s="17"/>
      <c r="G32" s="12"/>
      <c r="I32" s="12"/>
      <c r="K32" s="12"/>
    </row>
    <row r="33" spans="1:21" x14ac:dyDescent="0.25">
      <c r="F33" s="16"/>
    </row>
    <row r="34" spans="1:21" x14ac:dyDescent="0.25">
      <c r="A34" s="21" t="s">
        <v>900</v>
      </c>
      <c r="B34" s="21" t="s">
        <v>108</v>
      </c>
      <c r="C34" s="22">
        <v>1500</v>
      </c>
      <c r="H34" s="10"/>
      <c r="J34" s="10"/>
    </row>
    <row r="35" spans="1:21" s="10" customFormat="1" x14ac:dyDescent="0.25">
      <c r="A35" s="21" t="s">
        <v>900</v>
      </c>
      <c r="B35" s="21" t="s">
        <v>297</v>
      </c>
      <c r="C35" s="22">
        <v>1600</v>
      </c>
      <c r="D35" s="9"/>
      <c r="F35" s="16"/>
      <c r="H35" s="9"/>
      <c r="J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s="10" customFormat="1" x14ac:dyDescent="0.25">
      <c r="A36" s="21" t="s">
        <v>901</v>
      </c>
      <c r="B36" s="21" t="s">
        <v>108</v>
      </c>
      <c r="C36" s="22">
        <v>1500</v>
      </c>
      <c r="D36" s="9"/>
      <c r="F36" s="16"/>
      <c r="H36" s="9"/>
      <c r="J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s="10" customFormat="1" x14ac:dyDescent="0.25">
      <c r="A37" s="21" t="s">
        <v>901</v>
      </c>
      <c r="B37" s="21" t="s">
        <v>297</v>
      </c>
      <c r="C37" s="22">
        <v>1600</v>
      </c>
      <c r="D37" s="9"/>
      <c r="F37" s="16"/>
      <c r="H37" s="16"/>
      <c r="J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s="10" customFormat="1" x14ac:dyDescent="0.25">
      <c r="A38" s="21" t="s">
        <v>902</v>
      </c>
      <c r="B38" s="21" t="s">
        <v>297</v>
      </c>
      <c r="C38" s="22">
        <v>1600</v>
      </c>
      <c r="D38" s="9"/>
      <c r="F38" s="16"/>
      <c r="H38" s="9"/>
      <c r="J38" s="9"/>
    </row>
    <row r="39" spans="1:21" s="10" customFormat="1" x14ac:dyDescent="0.25">
      <c r="A39" s="21" t="s">
        <v>902</v>
      </c>
      <c r="B39" s="21" t="s">
        <v>108</v>
      </c>
      <c r="C39" s="22">
        <v>1500</v>
      </c>
      <c r="D39" s="9"/>
      <c r="F39" s="16"/>
      <c r="H39" s="9"/>
      <c r="J39" s="9"/>
    </row>
    <row r="40" spans="1:21" s="10" customFormat="1" x14ac:dyDescent="0.25">
      <c r="A40" s="21" t="s">
        <v>903</v>
      </c>
      <c r="B40" s="21" t="s">
        <v>206</v>
      </c>
      <c r="C40" s="22">
        <v>6000</v>
      </c>
      <c r="D40" s="9"/>
      <c r="F40" s="9"/>
      <c r="H40" s="9">
        <v>2700</v>
      </c>
      <c r="J40" s="9"/>
    </row>
    <row r="41" spans="1:21" s="10" customFormat="1" x14ac:dyDescent="0.25">
      <c r="A41" s="19" t="s">
        <v>903</v>
      </c>
      <c r="B41" s="19" t="s">
        <v>648</v>
      </c>
      <c r="C41" s="20">
        <v>1000</v>
      </c>
      <c r="D41" s="9"/>
      <c r="F41" s="9"/>
      <c r="H41" s="9">
        <v>1200</v>
      </c>
      <c r="J41" s="9"/>
    </row>
    <row r="42" spans="1:21" s="10" customFormat="1" x14ac:dyDescent="0.25">
      <c r="A42" s="21" t="s">
        <v>904</v>
      </c>
      <c r="B42" s="21" t="s">
        <v>108</v>
      </c>
      <c r="C42" s="22">
        <v>1500</v>
      </c>
      <c r="D42" s="9"/>
      <c r="F42" s="16"/>
      <c r="H42" s="9"/>
      <c r="J42" s="9"/>
    </row>
    <row r="43" spans="1:21" s="10" customFormat="1" x14ac:dyDescent="0.25">
      <c r="A43" s="19" t="s">
        <v>904</v>
      </c>
      <c r="B43" s="19" t="s">
        <v>297</v>
      </c>
      <c r="C43" s="20">
        <v>1600</v>
      </c>
      <c r="D43" s="9"/>
      <c r="F43" s="16"/>
      <c r="H43" s="9"/>
      <c r="J43" s="9"/>
    </row>
    <row r="44" spans="1:21" s="10" customFormat="1" x14ac:dyDescent="0.25">
      <c r="A44" s="19" t="s">
        <v>905</v>
      </c>
      <c r="B44" s="19" t="s">
        <v>398</v>
      </c>
      <c r="C44" s="20">
        <v>3000</v>
      </c>
      <c r="D44" s="9"/>
      <c r="F44" s="9"/>
      <c r="H44" s="9"/>
      <c r="J44" s="9"/>
    </row>
    <row r="45" spans="1:21" s="10" customFormat="1" x14ac:dyDescent="0.25">
      <c r="A45" s="19" t="s">
        <v>905</v>
      </c>
      <c r="B45" s="19" t="s">
        <v>574</v>
      </c>
      <c r="C45" s="20">
        <v>500</v>
      </c>
      <c r="D45" s="9"/>
      <c r="F45" s="9"/>
      <c r="H45" s="9"/>
      <c r="J45" s="9"/>
    </row>
    <row r="46" spans="1:21" s="10" customFormat="1" x14ac:dyDescent="0.25">
      <c r="A46" s="19" t="s">
        <v>905</v>
      </c>
      <c r="B46" s="9" t="s">
        <v>72</v>
      </c>
      <c r="C46" s="10">
        <v>550</v>
      </c>
      <c r="D46" s="9"/>
      <c r="F46" s="9"/>
      <c r="H46" s="9"/>
      <c r="J46" s="9"/>
    </row>
    <row r="47" spans="1:21" s="10" customFormat="1" x14ac:dyDescent="0.25">
      <c r="A47" s="19"/>
      <c r="B47" s="9"/>
      <c r="D47" s="9"/>
      <c r="F47" s="9"/>
      <c r="H47" s="9"/>
      <c r="J47" s="9"/>
    </row>
    <row r="48" spans="1:21" s="10" customFormat="1" x14ac:dyDescent="0.25">
      <c r="A48" s="9"/>
      <c r="B48" s="9"/>
      <c r="D48" s="9"/>
      <c r="F48" s="9"/>
      <c r="H48" s="9"/>
      <c r="J48" s="9"/>
    </row>
    <row r="49" spans="1:10" s="10" customFormat="1" x14ac:dyDescent="0.25">
      <c r="A49" s="9"/>
      <c r="B49" s="9"/>
      <c r="D49" s="9"/>
      <c r="F49" s="9"/>
      <c r="H49" s="9"/>
      <c r="J49" s="9"/>
    </row>
    <row r="50" spans="1:10" s="10" customFormat="1" x14ac:dyDescent="0.25">
      <c r="A50" s="9"/>
      <c r="B50" s="9"/>
      <c r="D50" s="9"/>
      <c r="F50" s="9"/>
    </row>
    <row r="51" spans="1:10" s="10" customFormat="1" x14ac:dyDescent="0.25">
      <c r="A51" s="9"/>
      <c r="B51" s="9"/>
      <c r="D51" s="9"/>
      <c r="F51" s="9"/>
    </row>
    <row r="52" spans="1:10" s="10" customFormat="1" x14ac:dyDescent="0.25">
      <c r="A52" s="9"/>
      <c r="B52" s="9"/>
      <c r="D52" s="9"/>
      <c r="F52" s="9"/>
    </row>
    <row r="53" spans="1:10" s="10" customFormat="1" x14ac:dyDescent="0.25">
      <c r="A53" s="9"/>
      <c r="B53" s="9"/>
      <c r="D53" s="9"/>
      <c r="F53" s="9"/>
    </row>
    <row r="54" spans="1:10" s="10" customFormat="1" x14ac:dyDescent="0.25">
      <c r="A54" s="9"/>
      <c r="B54" s="9"/>
      <c r="C54" s="9"/>
      <c r="D54" s="9"/>
      <c r="F54" s="9"/>
    </row>
    <row r="55" spans="1:10" s="10" customFormat="1" x14ac:dyDescent="0.25"/>
    <row r="56" spans="1:10" s="10" customFormat="1" x14ac:dyDescent="0.25"/>
    <row r="57" spans="1:10" s="10" customFormat="1" x14ac:dyDescent="0.25"/>
    <row r="58" spans="1:10" s="10" customFormat="1" x14ac:dyDescent="0.25"/>
    <row r="59" spans="1:10" s="10" customFormat="1" x14ac:dyDescent="0.25"/>
    <row r="60" spans="1:10" s="10" customFormat="1" x14ac:dyDescent="0.25"/>
    <row r="61" spans="1:10" s="10" customFormat="1" x14ac:dyDescent="0.25"/>
    <row r="62" spans="1:10" s="10" customFormat="1" x14ac:dyDescent="0.25">
      <c r="H62" s="9"/>
      <c r="J62" s="9"/>
    </row>
    <row r="63" spans="1:10" s="10" customFormat="1" x14ac:dyDescent="0.25">
      <c r="H63" s="9"/>
      <c r="J63" s="9"/>
    </row>
    <row r="64" spans="1:10" s="10" customFormat="1" x14ac:dyDescent="0.25">
      <c r="H64" s="9"/>
      <c r="J64" s="9"/>
    </row>
    <row r="65" spans="1:11" s="10" customFormat="1" x14ac:dyDescent="0.25">
      <c r="H65" s="9"/>
      <c r="J65" s="9"/>
    </row>
    <row r="66" spans="1:11" s="10" customFormat="1" x14ac:dyDescent="0.25">
      <c r="H66" s="9"/>
      <c r="J66" s="9"/>
    </row>
    <row r="67" spans="1:11" s="10" customFormat="1" x14ac:dyDescent="0.25">
      <c r="H67" s="9"/>
      <c r="J67" s="9"/>
    </row>
    <row r="68" spans="1:11" s="10" customFormat="1" x14ac:dyDescent="0.25">
      <c r="H68" s="9"/>
      <c r="J68" s="9"/>
    </row>
    <row r="69" spans="1:11" s="10" customFormat="1" x14ac:dyDescent="0.25">
      <c r="H69" s="9"/>
      <c r="J69" s="9"/>
    </row>
    <row r="70" spans="1:11" s="10" customFormat="1" x14ac:dyDescent="0.25">
      <c r="H70" s="9"/>
      <c r="J70" s="9"/>
    </row>
    <row r="71" spans="1:11" s="10" customFormat="1" x14ac:dyDescent="0.25">
      <c r="H71" s="9"/>
      <c r="J71" s="9"/>
    </row>
    <row r="72" spans="1:11" s="10" customFormat="1" x14ac:dyDescent="0.25">
      <c r="H72" s="9"/>
      <c r="J72" s="9"/>
    </row>
    <row r="73" spans="1:11" s="10" customFormat="1" x14ac:dyDescent="0.25">
      <c r="H73" s="9"/>
      <c r="J73" s="9"/>
    </row>
    <row r="74" spans="1:11" s="10" customFormat="1" x14ac:dyDescent="0.25">
      <c r="H74" s="9"/>
      <c r="J74" s="9"/>
    </row>
    <row r="75" spans="1:11" s="10" customFormat="1" x14ac:dyDescent="0.25">
      <c r="H75" s="9"/>
      <c r="J75" s="9"/>
    </row>
    <row r="76" spans="1:11" s="11" customFormat="1" x14ac:dyDescent="0.25">
      <c r="C76" s="12"/>
      <c r="E76" s="12"/>
      <c r="G76" s="12"/>
      <c r="I76" s="12"/>
      <c r="K76" s="12"/>
    </row>
    <row r="77" spans="1:11" x14ac:dyDescent="0.25">
      <c r="C77" s="10"/>
    </row>
    <row r="78" spans="1:11" x14ac:dyDescent="0.25">
      <c r="A78" s="13"/>
      <c r="C78" s="10"/>
    </row>
    <row r="79" spans="1:11" x14ac:dyDescent="0.25">
      <c r="C79" s="10"/>
    </row>
    <row r="80" spans="1:11" x14ac:dyDescent="0.25"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84" spans="3:3" x14ac:dyDescent="0.25">
      <c r="C84" s="10"/>
    </row>
    <row r="85" spans="3:3" x14ac:dyDescent="0.25">
      <c r="C85" s="10"/>
    </row>
    <row r="86" spans="3:3" x14ac:dyDescent="0.25">
      <c r="C86" s="10"/>
    </row>
    <row r="87" spans="3:3" x14ac:dyDescent="0.25">
      <c r="C87" s="10"/>
    </row>
    <row r="88" spans="3:3" x14ac:dyDescent="0.25">
      <c r="C88" s="10"/>
    </row>
    <row r="89" spans="3:3" x14ac:dyDescent="0.25">
      <c r="C89" s="10"/>
    </row>
    <row r="90" spans="3:3" x14ac:dyDescent="0.25">
      <c r="C90" s="10"/>
    </row>
    <row r="91" spans="3:3" x14ac:dyDescent="0.25">
      <c r="C91" s="10"/>
    </row>
    <row r="92" spans="3:3" x14ac:dyDescent="0.25">
      <c r="C92" s="10"/>
    </row>
    <row r="93" spans="3:3" x14ac:dyDescent="0.25">
      <c r="C93" s="10"/>
    </row>
    <row r="94" spans="3:3" x14ac:dyDescent="0.25">
      <c r="C94" s="10"/>
    </row>
    <row r="1048560" spans="1:21" s="10" customFormat="1" x14ac:dyDescent="0.25">
      <c r="A1048560" s="9"/>
      <c r="B1048560" s="9"/>
      <c r="C1048560" s="9"/>
      <c r="D1048560" s="9"/>
      <c r="F1048560" s="9"/>
      <c r="H1048560" s="9"/>
      <c r="L1048560" s="9"/>
      <c r="M1048560" s="9"/>
      <c r="N1048560" s="9"/>
      <c r="O1048560" s="9"/>
      <c r="P1048560" s="9"/>
      <c r="Q1048560" s="9"/>
      <c r="R1048560" s="9"/>
      <c r="S1048560" s="9"/>
      <c r="T1048560" s="9"/>
      <c r="U1048560" s="9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1048543"/>
  <sheetViews>
    <sheetView workbookViewId="0">
      <pane ySplit="3" topLeftCell="A4" activePane="bottomLeft" state="frozen"/>
      <selection activeCell="K26" activeCellId="1" sqref="K29:K30 K26"/>
      <selection pane="bottomLeft" activeCell="B12" sqref="B12"/>
    </sheetView>
  </sheetViews>
  <sheetFormatPr baseColWidth="10" defaultColWidth="10.7109375" defaultRowHeight="15" x14ac:dyDescent="0.25"/>
  <cols>
    <col min="1" max="1" width="22.7109375" style="9" customWidth="1"/>
    <col min="2" max="2" width="62.28515625" style="9" customWidth="1"/>
    <col min="3" max="3" width="22.42578125" style="9" customWidth="1"/>
    <col min="4" max="4" width="37.5703125" style="9" customWidth="1"/>
    <col min="5" max="5" width="10.7109375" style="10"/>
    <col min="6" max="6" width="6.140625" style="9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2" s="11" customFormat="1" x14ac:dyDescent="0.25">
      <c r="A1" s="11" t="s">
        <v>0</v>
      </c>
      <c r="E1" s="12"/>
      <c r="G1" s="12"/>
      <c r="I1" s="12"/>
    </row>
    <row r="3" spans="1:12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12" t="s">
        <v>13</v>
      </c>
    </row>
    <row r="4" spans="1:12" x14ac:dyDescent="0.25">
      <c r="A4" s="5" t="s">
        <v>956</v>
      </c>
      <c r="B4" s="5" t="s">
        <v>957</v>
      </c>
      <c r="C4" s="5" t="s">
        <v>27</v>
      </c>
      <c r="D4" s="5" t="s">
        <v>33</v>
      </c>
      <c r="E4" s="4">
        <v>2950</v>
      </c>
      <c r="F4" s="5"/>
      <c r="G4" s="4" t="s">
        <v>958</v>
      </c>
      <c r="H4" s="4" t="s">
        <v>959</v>
      </c>
      <c r="I4" s="4">
        <v>2400</v>
      </c>
      <c r="J4" s="4" t="s">
        <v>65</v>
      </c>
      <c r="K4" s="4">
        <f t="shared" ref="K4:K13" si="0">E4-I4</f>
        <v>550</v>
      </c>
      <c r="L4" s="5"/>
    </row>
    <row r="5" spans="1:12" x14ac:dyDescent="0.25">
      <c r="A5" s="5" t="s">
        <v>956</v>
      </c>
      <c r="B5" s="5" t="s">
        <v>964</v>
      </c>
      <c r="C5" s="5" t="s">
        <v>27</v>
      </c>
      <c r="D5" s="5" t="s">
        <v>33</v>
      </c>
      <c r="E5" s="4">
        <v>2000</v>
      </c>
      <c r="F5" s="5"/>
      <c r="G5" s="4" t="s">
        <v>75</v>
      </c>
      <c r="H5" s="4" t="s">
        <v>959</v>
      </c>
      <c r="I5" s="4">
        <v>500</v>
      </c>
      <c r="J5" s="4" t="s">
        <v>66</v>
      </c>
      <c r="K5" s="4">
        <f t="shared" si="0"/>
        <v>1500</v>
      </c>
      <c r="L5" s="5"/>
    </row>
    <row r="6" spans="1:12" x14ac:dyDescent="0.25">
      <c r="A6" s="5" t="s">
        <v>956</v>
      </c>
      <c r="B6" s="5" t="s">
        <v>960</v>
      </c>
      <c r="C6" s="5" t="s">
        <v>27</v>
      </c>
      <c r="D6" s="5" t="s">
        <v>33</v>
      </c>
      <c r="E6" s="4">
        <v>4650</v>
      </c>
      <c r="F6" s="5"/>
      <c r="G6" s="4" t="s">
        <v>961</v>
      </c>
      <c r="H6" s="4" t="s">
        <v>956</v>
      </c>
      <c r="I6" s="4">
        <f>1500+750</f>
        <v>2250</v>
      </c>
      <c r="J6" s="4" t="s">
        <v>66</v>
      </c>
      <c r="K6" s="4">
        <f t="shared" si="0"/>
        <v>2400</v>
      </c>
      <c r="L6" s="5"/>
    </row>
    <row r="7" spans="1:12" x14ac:dyDescent="0.25">
      <c r="A7" s="9" t="s">
        <v>956</v>
      </c>
      <c r="B7" s="9" t="s">
        <v>962</v>
      </c>
      <c r="C7" s="9" t="s">
        <v>27</v>
      </c>
      <c r="D7" s="9" t="s">
        <v>168</v>
      </c>
      <c r="E7" s="10">
        <v>1700</v>
      </c>
      <c r="G7" s="10" t="s">
        <v>37</v>
      </c>
      <c r="H7" s="10" t="s">
        <v>956</v>
      </c>
      <c r="I7" s="10">
        <v>0</v>
      </c>
      <c r="J7" s="10" t="s">
        <v>37</v>
      </c>
      <c r="K7" s="10">
        <f t="shared" si="0"/>
        <v>1700</v>
      </c>
    </row>
    <row r="8" spans="1:12" x14ac:dyDescent="0.25">
      <c r="A8" s="9" t="s">
        <v>950</v>
      </c>
      <c r="B8" s="9" t="s">
        <v>963</v>
      </c>
      <c r="C8" s="9" t="s">
        <v>27</v>
      </c>
      <c r="D8" s="9" t="s">
        <v>168</v>
      </c>
      <c r="E8" s="10">
        <f>500+450+1200</f>
        <v>2150</v>
      </c>
      <c r="G8" s="10" t="s">
        <v>37</v>
      </c>
      <c r="H8" s="10" t="s">
        <v>956</v>
      </c>
      <c r="I8" s="10">
        <v>0</v>
      </c>
      <c r="J8" s="10" t="s">
        <v>37</v>
      </c>
      <c r="K8" s="10">
        <f t="shared" si="0"/>
        <v>2150</v>
      </c>
    </row>
    <row r="9" spans="1:12" x14ac:dyDescent="0.25">
      <c r="A9" s="5" t="s">
        <v>965</v>
      </c>
      <c r="B9" s="5" t="s">
        <v>966</v>
      </c>
      <c r="C9" s="5" t="s">
        <v>27</v>
      </c>
      <c r="D9" s="5" t="s">
        <v>33</v>
      </c>
      <c r="E9" s="4">
        <v>850</v>
      </c>
      <c r="F9" s="5"/>
      <c r="G9" s="4" t="s">
        <v>37</v>
      </c>
      <c r="H9" s="4" t="s">
        <v>37</v>
      </c>
      <c r="I9" s="4">
        <v>0</v>
      </c>
      <c r="J9" s="4" t="s">
        <v>37</v>
      </c>
      <c r="K9" s="4">
        <f t="shared" si="0"/>
        <v>850</v>
      </c>
      <c r="L9" s="5"/>
    </row>
    <row r="10" spans="1:12" x14ac:dyDescent="0.25">
      <c r="A10" s="5" t="s">
        <v>967</v>
      </c>
      <c r="B10" s="5" t="s">
        <v>968</v>
      </c>
      <c r="C10" s="5" t="s">
        <v>27</v>
      </c>
      <c r="D10" s="5" t="s">
        <v>33</v>
      </c>
      <c r="E10" s="4">
        <v>950</v>
      </c>
      <c r="F10" s="5"/>
      <c r="G10" s="4" t="s">
        <v>37</v>
      </c>
      <c r="H10" s="4" t="s">
        <v>37</v>
      </c>
      <c r="I10" s="4">
        <v>0</v>
      </c>
      <c r="J10" s="4" t="s">
        <v>37</v>
      </c>
      <c r="K10" s="4">
        <f t="shared" si="0"/>
        <v>950</v>
      </c>
      <c r="L10" s="5"/>
    </row>
    <row r="11" spans="1:12" x14ac:dyDescent="0.25">
      <c r="A11" s="9" t="s">
        <v>969</v>
      </c>
      <c r="B11" s="9" t="s">
        <v>184</v>
      </c>
      <c r="C11" s="9" t="s">
        <v>27</v>
      </c>
      <c r="D11" s="9" t="s">
        <v>168</v>
      </c>
      <c r="E11" s="10">
        <v>750</v>
      </c>
      <c r="G11" s="10" t="s">
        <v>37</v>
      </c>
      <c r="H11" s="10" t="s">
        <v>37</v>
      </c>
      <c r="I11" s="10">
        <v>0</v>
      </c>
      <c r="J11" s="10" t="s">
        <v>37</v>
      </c>
      <c r="K11" s="10">
        <f t="shared" si="0"/>
        <v>750</v>
      </c>
    </row>
    <row r="12" spans="1:12" x14ac:dyDescent="0.25">
      <c r="A12" s="9" t="s">
        <v>969</v>
      </c>
      <c r="B12" s="9" t="s">
        <v>970</v>
      </c>
      <c r="C12" s="9" t="s">
        <v>27</v>
      </c>
      <c r="D12" s="9" t="s">
        <v>168</v>
      </c>
      <c r="E12" s="10">
        <v>1550</v>
      </c>
      <c r="G12" s="10" t="s">
        <v>37</v>
      </c>
      <c r="H12" s="10" t="s">
        <v>37</v>
      </c>
      <c r="I12" s="10">
        <v>0</v>
      </c>
      <c r="J12" s="10" t="s">
        <v>37</v>
      </c>
      <c r="K12" s="10">
        <f t="shared" si="0"/>
        <v>1550</v>
      </c>
    </row>
    <row r="13" spans="1:12" x14ac:dyDescent="0.25">
      <c r="A13" s="5" t="s">
        <v>969</v>
      </c>
      <c r="B13" s="5" t="s">
        <v>971</v>
      </c>
      <c r="C13" s="5" t="s">
        <v>27</v>
      </c>
      <c r="D13" s="5" t="s">
        <v>33</v>
      </c>
      <c r="E13" s="4">
        <v>600</v>
      </c>
      <c r="F13" s="5"/>
      <c r="G13" s="4" t="s">
        <v>37</v>
      </c>
      <c r="H13" s="4" t="s">
        <v>37</v>
      </c>
      <c r="I13" s="4">
        <v>0</v>
      </c>
      <c r="J13" s="4" t="s">
        <v>37</v>
      </c>
      <c r="K13" s="4">
        <f t="shared" si="0"/>
        <v>600</v>
      </c>
      <c r="L13" s="5"/>
    </row>
    <row r="14" spans="1:12" x14ac:dyDescent="0.25">
      <c r="F14" s="16"/>
    </row>
    <row r="15" spans="1:12" s="11" customFormat="1" x14ac:dyDescent="0.25">
      <c r="A15" s="11" t="s">
        <v>948</v>
      </c>
      <c r="E15" s="12"/>
      <c r="F15" s="17"/>
      <c r="G15" s="12"/>
      <c r="I15" s="12"/>
      <c r="K15" s="12"/>
    </row>
    <row r="16" spans="1:12" x14ac:dyDescent="0.25">
      <c r="F16" s="16"/>
    </row>
    <row r="17" spans="1:21" x14ac:dyDescent="0.25">
      <c r="A17" s="21" t="s">
        <v>949</v>
      </c>
      <c r="B17" s="21" t="s">
        <v>108</v>
      </c>
      <c r="C17" s="22">
        <v>1500</v>
      </c>
      <c r="H17" s="10"/>
      <c r="J17" s="10"/>
    </row>
    <row r="18" spans="1:21" s="10" customFormat="1" x14ac:dyDescent="0.25">
      <c r="A18" s="21" t="s">
        <v>949</v>
      </c>
      <c r="B18" s="21" t="s">
        <v>297</v>
      </c>
      <c r="C18" s="22">
        <v>1600</v>
      </c>
      <c r="D18" s="9"/>
      <c r="F18" s="16"/>
      <c r="H18" s="9"/>
      <c r="J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s="10" customFormat="1" x14ac:dyDescent="0.25">
      <c r="A19" s="21" t="s">
        <v>950</v>
      </c>
      <c r="B19" s="21" t="s">
        <v>108</v>
      </c>
      <c r="C19" s="22">
        <v>1500</v>
      </c>
      <c r="D19" s="9"/>
      <c r="F19" s="16"/>
      <c r="H19" s="9"/>
      <c r="J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s="10" customFormat="1" x14ac:dyDescent="0.25">
      <c r="A20" s="21" t="s">
        <v>950</v>
      </c>
      <c r="B20" s="21" t="s">
        <v>297</v>
      </c>
      <c r="C20" s="22">
        <v>2000</v>
      </c>
      <c r="D20" s="9"/>
      <c r="F20" s="16"/>
      <c r="H20" s="16"/>
      <c r="J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 s="10" customFormat="1" x14ac:dyDescent="0.25">
      <c r="A21" s="21" t="s">
        <v>951</v>
      </c>
      <c r="B21" s="21" t="s">
        <v>297</v>
      </c>
      <c r="C21" s="22">
        <v>2000</v>
      </c>
      <c r="D21" s="9"/>
      <c r="F21" s="16"/>
      <c r="H21" s="9"/>
      <c r="J21" s="9"/>
    </row>
    <row r="22" spans="1:21" s="10" customFormat="1" x14ac:dyDescent="0.25">
      <c r="A22" s="21" t="s">
        <v>951</v>
      </c>
      <c r="B22" s="21" t="s">
        <v>108</v>
      </c>
      <c r="C22" s="22">
        <v>1500</v>
      </c>
      <c r="D22" s="9"/>
      <c r="F22" s="16"/>
      <c r="H22" s="9"/>
      <c r="J22" s="9"/>
    </row>
    <row r="23" spans="1:21" s="4" customFormat="1" x14ac:dyDescent="0.25">
      <c r="A23" s="21" t="s">
        <v>953</v>
      </c>
      <c r="B23" s="21" t="s">
        <v>206</v>
      </c>
      <c r="C23" s="22">
        <v>6000</v>
      </c>
      <c r="D23" s="5"/>
      <c r="F23" s="5"/>
      <c r="H23" s="5">
        <v>2700</v>
      </c>
      <c r="J23" s="5"/>
    </row>
    <row r="24" spans="1:21" s="10" customFormat="1" x14ac:dyDescent="0.25">
      <c r="A24" s="19" t="s">
        <v>953</v>
      </c>
      <c r="B24" s="19" t="s">
        <v>648</v>
      </c>
      <c r="C24" s="20">
        <v>1000</v>
      </c>
      <c r="D24" s="9"/>
      <c r="F24" s="9"/>
      <c r="H24" s="9">
        <v>1200</v>
      </c>
      <c r="J24" s="9"/>
    </row>
    <row r="25" spans="1:21" s="10" customFormat="1" x14ac:dyDescent="0.25">
      <c r="A25" s="21" t="s">
        <v>952</v>
      </c>
      <c r="B25" s="21" t="s">
        <v>108</v>
      </c>
      <c r="C25" s="22">
        <v>1500</v>
      </c>
      <c r="D25" s="9"/>
      <c r="F25" s="16"/>
      <c r="H25" s="9"/>
      <c r="J25" s="9"/>
    </row>
    <row r="26" spans="1:21" s="10" customFormat="1" x14ac:dyDescent="0.25">
      <c r="A26" s="21" t="s">
        <v>952</v>
      </c>
      <c r="B26" s="21" t="s">
        <v>297</v>
      </c>
      <c r="C26" s="22">
        <v>2000</v>
      </c>
      <c r="D26" s="9"/>
      <c r="F26" s="16"/>
      <c r="H26" s="9"/>
      <c r="J26" s="9"/>
    </row>
    <row r="27" spans="1:21" s="10" customFormat="1" x14ac:dyDescent="0.25">
      <c r="A27" s="21" t="s">
        <v>954</v>
      </c>
      <c r="B27" s="21" t="s">
        <v>398</v>
      </c>
      <c r="C27" s="22">
        <v>3000</v>
      </c>
      <c r="D27" s="9"/>
      <c r="F27" s="9"/>
      <c r="H27" s="9"/>
      <c r="J27" s="9"/>
    </row>
    <row r="28" spans="1:21" s="10" customFormat="1" x14ac:dyDescent="0.25">
      <c r="A28" s="19" t="s">
        <v>954</v>
      </c>
      <c r="B28" s="19" t="s">
        <v>574</v>
      </c>
      <c r="C28" s="20">
        <v>500</v>
      </c>
      <c r="D28" s="9"/>
      <c r="F28" s="9"/>
      <c r="H28" s="9"/>
      <c r="J28" s="9"/>
    </row>
    <row r="29" spans="1:21" s="10" customFormat="1" x14ac:dyDescent="0.25">
      <c r="A29" s="19" t="s">
        <v>954</v>
      </c>
      <c r="B29" s="9" t="s">
        <v>72</v>
      </c>
      <c r="C29" s="10">
        <v>550</v>
      </c>
      <c r="D29" s="9"/>
      <c r="F29" s="9"/>
      <c r="H29" s="9"/>
      <c r="J29" s="9"/>
    </row>
    <row r="30" spans="1:21" s="10" customFormat="1" x14ac:dyDescent="0.25">
      <c r="A30" s="19"/>
      <c r="B30" s="9"/>
      <c r="D30" s="9"/>
      <c r="F30" s="9"/>
      <c r="H30" s="9"/>
      <c r="J30" s="9"/>
    </row>
    <row r="31" spans="1:21" s="10" customFormat="1" x14ac:dyDescent="0.25">
      <c r="A31" s="9"/>
      <c r="B31" s="9"/>
      <c r="D31" s="9"/>
      <c r="F31" s="9"/>
      <c r="H31" s="9"/>
      <c r="J31" s="9"/>
    </row>
    <row r="32" spans="1:21" s="10" customFormat="1" x14ac:dyDescent="0.25">
      <c r="A32" s="9"/>
      <c r="B32" s="9"/>
      <c r="D32" s="9"/>
      <c r="F32" s="9"/>
      <c r="H32" s="9"/>
      <c r="J32" s="9"/>
    </row>
    <row r="33" spans="1:10" s="10" customFormat="1" x14ac:dyDescent="0.25">
      <c r="A33" s="9"/>
      <c r="B33" s="9"/>
      <c r="D33" s="9"/>
      <c r="F33" s="9"/>
    </row>
    <row r="34" spans="1:10" s="10" customFormat="1" x14ac:dyDescent="0.25">
      <c r="A34" s="9"/>
      <c r="B34" s="9"/>
      <c r="D34" s="9"/>
      <c r="F34" s="9"/>
    </row>
    <row r="35" spans="1:10" s="10" customFormat="1" x14ac:dyDescent="0.25">
      <c r="A35" s="9"/>
      <c r="B35" s="9"/>
      <c r="D35" s="9" t="s">
        <v>1027</v>
      </c>
      <c r="F35" s="9"/>
    </row>
    <row r="36" spans="1:10" s="10" customFormat="1" x14ac:dyDescent="0.25">
      <c r="A36" s="9"/>
      <c r="B36" s="9"/>
      <c r="D36" s="9"/>
      <c r="F36" s="9"/>
    </row>
    <row r="37" spans="1:10" s="10" customFormat="1" x14ac:dyDescent="0.25">
      <c r="A37" s="9"/>
      <c r="B37" s="9"/>
      <c r="C37" s="9"/>
      <c r="D37" s="9"/>
      <c r="F37" s="9"/>
    </row>
    <row r="38" spans="1:10" s="10" customFormat="1" x14ac:dyDescent="0.25"/>
    <row r="39" spans="1:10" s="10" customFormat="1" x14ac:dyDescent="0.25"/>
    <row r="40" spans="1:10" s="10" customFormat="1" x14ac:dyDescent="0.25"/>
    <row r="41" spans="1:10" s="10" customFormat="1" x14ac:dyDescent="0.25"/>
    <row r="42" spans="1:10" s="10" customFormat="1" x14ac:dyDescent="0.25"/>
    <row r="43" spans="1:10" s="10" customFormat="1" x14ac:dyDescent="0.25"/>
    <row r="44" spans="1:10" s="10" customFormat="1" x14ac:dyDescent="0.25"/>
    <row r="45" spans="1:10" s="10" customFormat="1" x14ac:dyDescent="0.25">
      <c r="H45" s="9"/>
      <c r="J45" s="9"/>
    </row>
    <row r="46" spans="1:10" s="10" customFormat="1" x14ac:dyDescent="0.25">
      <c r="H46" s="9"/>
      <c r="J46" s="9"/>
    </row>
    <row r="47" spans="1:10" s="10" customFormat="1" x14ac:dyDescent="0.25">
      <c r="H47" s="9"/>
      <c r="J47" s="9"/>
    </row>
    <row r="48" spans="1:10" s="10" customFormat="1" x14ac:dyDescent="0.25">
      <c r="H48" s="9"/>
      <c r="J48" s="9"/>
    </row>
    <row r="49" spans="1:11" s="10" customFormat="1" x14ac:dyDescent="0.25">
      <c r="H49" s="9"/>
      <c r="J49" s="9"/>
    </row>
    <row r="50" spans="1:11" s="10" customFormat="1" x14ac:dyDescent="0.25">
      <c r="H50" s="9"/>
      <c r="J50" s="9"/>
    </row>
    <row r="51" spans="1:11" s="10" customFormat="1" x14ac:dyDescent="0.25">
      <c r="H51" s="9"/>
      <c r="J51" s="9"/>
    </row>
    <row r="52" spans="1:11" s="10" customFormat="1" x14ac:dyDescent="0.25">
      <c r="H52" s="9"/>
      <c r="J52" s="9"/>
    </row>
    <row r="53" spans="1:11" s="10" customFormat="1" x14ac:dyDescent="0.25">
      <c r="H53" s="9"/>
      <c r="J53" s="9"/>
    </row>
    <row r="54" spans="1:11" s="10" customFormat="1" x14ac:dyDescent="0.25">
      <c r="H54" s="9"/>
      <c r="J54" s="9"/>
    </row>
    <row r="55" spans="1:11" s="10" customFormat="1" x14ac:dyDescent="0.25">
      <c r="H55" s="9"/>
      <c r="J55" s="9"/>
    </row>
    <row r="56" spans="1:11" s="10" customFormat="1" x14ac:dyDescent="0.25">
      <c r="H56" s="9"/>
      <c r="J56" s="9"/>
    </row>
    <row r="57" spans="1:11" s="10" customFormat="1" x14ac:dyDescent="0.25">
      <c r="H57" s="9"/>
      <c r="J57" s="9"/>
    </row>
    <row r="58" spans="1:11" s="10" customFormat="1" x14ac:dyDescent="0.25">
      <c r="H58" s="9"/>
      <c r="J58" s="9"/>
    </row>
    <row r="59" spans="1:11" s="11" customFormat="1" x14ac:dyDescent="0.25">
      <c r="C59" s="12"/>
      <c r="E59" s="12"/>
      <c r="G59" s="12"/>
      <c r="I59" s="12"/>
      <c r="K59" s="12"/>
    </row>
    <row r="60" spans="1:11" x14ac:dyDescent="0.25">
      <c r="C60" s="10"/>
    </row>
    <row r="61" spans="1:11" x14ac:dyDescent="0.25">
      <c r="A61" s="13"/>
      <c r="C61" s="10"/>
    </row>
    <row r="62" spans="1:11" x14ac:dyDescent="0.25">
      <c r="C62" s="10"/>
    </row>
    <row r="63" spans="1:11" x14ac:dyDescent="0.25">
      <c r="C63" s="10"/>
    </row>
    <row r="64" spans="1:11" x14ac:dyDescent="0.25">
      <c r="C64" s="10"/>
    </row>
    <row r="65" spans="3:3" x14ac:dyDescent="0.25">
      <c r="C65" s="10"/>
    </row>
    <row r="66" spans="3:3" x14ac:dyDescent="0.25">
      <c r="C66" s="10"/>
    </row>
    <row r="67" spans="3:3" x14ac:dyDescent="0.25">
      <c r="C67" s="10"/>
    </row>
    <row r="68" spans="3:3" x14ac:dyDescent="0.25">
      <c r="C68" s="10"/>
    </row>
    <row r="69" spans="3:3" x14ac:dyDescent="0.25">
      <c r="C69" s="10"/>
    </row>
    <row r="70" spans="3:3" x14ac:dyDescent="0.25">
      <c r="C70" s="10"/>
    </row>
    <row r="71" spans="3:3" x14ac:dyDescent="0.25">
      <c r="C71" s="10"/>
    </row>
    <row r="72" spans="3:3" x14ac:dyDescent="0.25">
      <c r="C72" s="10"/>
    </row>
    <row r="73" spans="3:3" x14ac:dyDescent="0.25">
      <c r="C73" s="10"/>
    </row>
    <row r="74" spans="3:3" x14ac:dyDescent="0.25">
      <c r="C74" s="10"/>
    </row>
    <row r="75" spans="3:3" x14ac:dyDescent="0.25">
      <c r="C75" s="10"/>
    </row>
    <row r="76" spans="3:3" x14ac:dyDescent="0.25">
      <c r="C76" s="10"/>
    </row>
    <row r="77" spans="3:3" x14ac:dyDescent="0.25">
      <c r="C77" s="10"/>
    </row>
    <row r="1048543" spans="1:21" s="10" customFormat="1" x14ac:dyDescent="0.25">
      <c r="A1048543" s="9"/>
      <c r="B1048543" s="9"/>
      <c r="C1048543" s="9"/>
      <c r="D1048543" s="9"/>
      <c r="F1048543" s="9"/>
      <c r="H1048543" s="9"/>
      <c r="L1048543" s="9"/>
      <c r="M1048543" s="9"/>
      <c r="N1048543" s="9"/>
      <c r="O1048543" s="9"/>
      <c r="P1048543" s="9"/>
      <c r="Q1048543" s="9"/>
      <c r="R1048543" s="9"/>
      <c r="S1048543" s="9"/>
      <c r="T1048543" s="9"/>
      <c r="U1048543" s="9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1048555"/>
  <sheetViews>
    <sheetView workbookViewId="0">
      <pane ySplit="3" topLeftCell="A4" activePane="bottomLeft" state="frozen"/>
      <selection activeCell="K26" activeCellId="1" sqref="K29:K30 K26"/>
      <selection pane="bottomLeft" activeCell="A23" sqref="A23"/>
    </sheetView>
  </sheetViews>
  <sheetFormatPr baseColWidth="10" defaultColWidth="10.7109375" defaultRowHeight="15" x14ac:dyDescent="0.25"/>
  <cols>
    <col min="1" max="1" width="22.7109375" style="9" customWidth="1"/>
    <col min="2" max="2" width="62.28515625" style="9" customWidth="1"/>
    <col min="3" max="3" width="22.42578125" style="9" customWidth="1"/>
    <col min="4" max="4" width="37.5703125" style="9" customWidth="1"/>
    <col min="5" max="5" width="10.7109375" style="10"/>
    <col min="6" max="6" width="6.140625" style="9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3" s="11" customFormat="1" x14ac:dyDescent="0.25">
      <c r="A1" s="11" t="s">
        <v>0</v>
      </c>
      <c r="E1" s="12"/>
      <c r="G1" s="12"/>
      <c r="I1" s="12"/>
    </row>
    <row r="3" spans="1:13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12" t="s">
        <v>13</v>
      </c>
    </row>
    <row r="4" spans="1:13" x14ac:dyDescent="0.25">
      <c r="A4" s="5" t="s">
        <v>972</v>
      </c>
      <c r="B4" s="5" t="s">
        <v>973</v>
      </c>
      <c r="C4" s="5" t="s">
        <v>27</v>
      </c>
      <c r="D4" s="5" t="s">
        <v>33</v>
      </c>
      <c r="E4" s="4">
        <v>1700</v>
      </c>
      <c r="F4" s="5"/>
      <c r="G4" s="4" t="s">
        <v>131</v>
      </c>
      <c r="H4" s="4" t="s">
        <v>974</v>
      </c>
      <c r="I4" s="4">
        <v>683</v>
      </c>
      <c r="J4" s="4" t="s">
        <v>66</v>
      </c>
      <c r="K4" s="4">
        <f t="shared" ref="K4:K5" si="0">E4-I4</f>
        <v>1017</v>
      </c>
      <c r="L4" s="5"/>
      <c r="M4" s="5"/>
    </row>
    <row r="5" spans="1:13" x14ac:dyDescent="0.25">
      <c r="A5" s="5" t="s">
        <v>974</v>
      </c>
      <c r="B5" s="5" t="s">
        <v>976</v>
      </c>
      <c r="C5" s="5" t="s">
        <v>27</v>
      </c>
      <c r="D5" s="5" t="s">
        <v>33</v>
      </c>
      <c r="E5" s="4">
        <v>750</v>
      </c>
      <c r="F5" s="5"/>
      <c r="G5" s="4" t="s">
        <v>37</v>
      </c>
      <c r="H5" s="4" t="s">
        <v>37</v>
      </c>
      <c r="I5" s="4">
        <v>0</v>
      </c>
      <c r="J5" s="4" t="s">
        <v>37</v>
      </c>
      <c r="K5" s="4">
        <f t="shared" si="0"/>
        <v>750</v>
      </c>
      <c r="L5" s="5"/>
      <c r="M5" s="5"/>
    </row>
    <row r="6" spans="1:13" x14ac:dyDescent="0.25">
      <c r="A6" s="5" t="s">
        <v>977</v>
      </c>
      <c r="B6" s="5" t="s">
        <v>978</v>
      </c>
      <c r="C6" s="5" t="s">
        <v>27</v>
      </c>
      <c r="D6" s="5" t="s">
        <v>33</v>
      </c>
      <c r="E6" s="4">
        <v>550</v>
      </c>
      <c r="F6" s="5"/>
      <c r="G6" s="4" t="s">
        <v>37</v>
      </c>
      <c r="H6" s="4" t="s">
        <v>37</v>
      </c>
      <c r="I6" s="4">
        <v>0</v>
      </c>
      <c r="J6" s="4" t="s">
        <v>37</v>
      </c>
      <c r="K6" s="4">
        <f t="shared" ref="K6" si="1">E6-I6</f>
        <v>550</v>
      </c>
      <c r="L6" s="5"/>
      <c r="M6" s="5"/>
    </row>
    <row r="7" spans="1:13" x14ac:dyDescent="0.25">
      <c r="A7" s="5" t="s">
        <v>977</v>
      </c>
      <c r="B7" s="5" t="s">
        <v>979</v>
      </c>
      <c r="C7" s="5" t="s">
        <v>27</v>
      </c>
      <c r="D7" s="5" t="s">
        <v>33</v>
      </c>
      <c r="E7" s="4">
        <v>2400</v>
      </c>
      <c r="F7" s="5"/>
      <c r="G7" s="4" t="s">
        <v>980</v>
      </c>
      <c r="H7" s="4" t="s">
        <v>977</v>
      </c>
      <c r="I7" s="4">
        <v>1200</v>
      </c>
      <c r="J7" s="4" t="s">
        <v>37</v>
      </c>
      <c r="K7" s="4">
        <f t="shared" ref="K7:K9" si="2">E7-I7</f>
        <v>1200</v>
      </c>
      <c r="L7" s="5"/>
      <c r="M7" s="5"/>
    </row>
    <row r="8" spans="1:13" x14ac:dyDescent="0.25">
      <c r="A8" s="5" t="s">
        <v>981</v>
      </c>
      <c r="B8" s="5" t="s">
        <v>982</v>
      </c>
      <c r="C8" s="5" t="s">
        <v>27</v>
      </c>
      <c r="D8" s="5" t="s">
        <v>33</v>
      </c>
      <c r="E8" s="4">
        <v>600</v>
      </c>
      <c r="F8" s="5"/>
      <c r="G8" s="4" t="s">
        <v>37</v>
      </c>
      <c r="H8" s="4" t="s">
        <v>37</v>
      </c>
      <c r="I8" s="4">
        <v>0</v>
      </c>
      <c r="J8" s="4" t="s">
        <v>37</v>
      </c>
      <c r="K8" s="4">
        <f t="shared" si="2"/>
        <v>600</v>
      </c>
      <c r="L8" s="5"/>
      <c r="M8" s="5"/>
    </row>
    <row r="9" spans="1:13" x14ac:dyDescent="0.25">
      <c r="A9" s="5" t="s">
        <v>987</v>
      </c>
      <c r="B9" s="5" t="s">
        <v>988</v>
      </c>
      <c r="C9" s="5" t="s">
        <v>27</v>
      </c>
      <c r="D9" s="5" t="s">
        <v>33</v>
      </c>
      <c r="E9" s="4">
        <v>600</v>
      </c>
      <c r="F9" s="5"/>
      <c r="G9" s="4" t="s">
        <v>37</v>
      </c>
      <c r="H9" s="4" t="s">
        <v>37</v>
      </c>
      <c r="I9" s="4">
        <v>0</v>
      </c>
      <c r="J9" s="4" t="s">
        <v>37</v>
      </c>
      <c r="K9" s="4">
        <f t="shared" si="2"/>
        <v>600</v>
      </c>
      <c r="L9" s="5"/>
      <c r="M9" s="5"/>
    </row>
    <row r="10" spans="1:13" x14ac:dyDescent="0.25">
      <c r="A10" s="5" t="s">
        <v>989</v>
      </c>
      <c r="B10" s="5" t="s">
        <v>990</v>
      </c>
      <c r="C10" s="5" t="s">
        <v>27</v>
      </c>
      <c r="D10" s="5" t="s">
        <v>33</v>
      </c>
      <c r="E10" s="4">
        <v>200</v>
      </c>
      <c r="F10" s="5"/>
      <c r="G10" s="4" t="s">
        <v>37</v>
      </c>
      <c r="H10" s="4" t="s">
        <v>37</v>
      </c>
      <c r="I10" s="4">
        <v>0</v>
      </c>
      <c r="J10" s="4" t="s">
        <v>37</v>
      </c>
      <c r="K10" s="4">
        <f t="shared" ref="K10:K13" si="3">E10-I10</f>
        <v>200</v>
      </c>
      <c r="L10" s="5"/>
      <c r="M10" s="5"/>
    </row>
    <row r="11" spans="1:13" x14ac:dyDescent="0.25">
      <c r="A11" s="5" t="s">
        <v>977</v>
      </c>
      <c r="B11" s="5" t="s">
        <v>991</v>
      </c>
      <c r="C11" s="5" t="s">
        <v>27</v>
      </c>
      <c r="D11" s="5" t="s">
        <v>33</v>
      </c>
      <c r="E11" s="4">
        <v>1300</v>
      </c>
      <c r="F11" s="5"/>
      <c r="G11" s="4" t="s">
        <v>992</v>
      </c>
      <c r="H11" s="4" t="s">
        <v>977</v>
      </c>
      <c r="I11" s="4">
        <v>650</v>
      </c>
      <c r="J11" s="4" t="s">
        <v>993</v>
      </c>
      <c r="K11" s="4">
        <f t="shared" si="3"/>
        <v>650</v>
      </c>
      <c r="L11" s="5"/>
      <c r="M11" s="5"/>
    </row>
    <row r="12" spans="1:13" x14ac:dyDescent="0.25">
      <c r="A12" s="5" t="s">
        <v>989</v>
      </c>
      <c r="B12" s="5" t="s">
        <v>994</v>
      </c>
      <c r="C12" s="5" t="s">
        <v>27</v>
      </c>
      <c r="D12" s="5" t="s">
        <v>33</v>
      </c>
      <c r="E12" s="4">
        <v>800</v>
      </c>
      <c r="F12" s="5"/>
      <c r="G12" s="4" t="s">
        <v>37</v>
      </c>
      <c r="H12" s="4" t="s">
        <v>37</v>
      </c>
      <c r="I12" s="4">
        <v>0</v>
      </c>
      <c r="J12" s="4" t="s">
        <v>37</v>
      </c>
      <c r="K12" s="4">
        <f t="shared" si="3"/>
        <v>800</v>
      </c>
      <c r="L12" s="5"/>
      <c r="M12" s="5"/>
    </row>
    <row r="13" spans="1:13" x14ac:dyDescent="0.25">
      <c r="A13" s="5" t="s">
        <v>995</v>
      </c>
      <c r="B13" s="5" t="s">
        <v>996</v>
      </c>
      <c r="C13" s="5" t="s">
        <v>27</v>
      </c>
      <c r="D13" s="5" t="s">
        <v>33</v>
      </c>
      <c r="E13" s="4">
        <f>650*4</f>
        <v>2600</v>
      </c>
      <c r="F13" s="5"/>
      <c r="G13" s="4" t="s">
        <v>37</v>
      </c>
      <c r="H13" s="4" t="s">
        <v>37</v>
      </c>
      <c r="I13" s="4">
        <v>0</v>
      </c>
      <c r="J13" s="4" t="s">
        <v>37</v>
      </c>
      <c r="K13" s="4">
        <f t="shared" si="3"/>
        <v>2600</v>
      </c>
      <c r="L13" s="5"/>
      <c r="M13" s="5"/>
    </row>
    <row r="14" spans="1:13" x14ac:dyDescent="0.25">
      <c r="A14" s="5" t="s">
        <v>997</v>
      </c>
      <c r="B14" s="5" t="s">
        <v>998</v>
      </c>
      <c r="C14" s="5" t="s">
        <v>27</v>
      </c>
      <c r="D14" s="5" t="s">
        <v>33</v>
      </c>
      <c r="E14" s="4">
        <v>1700</v>
      </c>
      <c r="F14" s="5"/>
      <c r="G14" s="4" t="s">
        <v>721</v>
      </c>
      <c r="H14" s="4" t="s">
        <v>995</v>
      </c>
      <c r="I14" s="4">
        <v>650</v>
      </c>
      <c r="J14" s="4" t="s">
        <v>37</v>
      </c>
      <c r="K14" s="4">
        <f t="shared" ref="K14:K15" si="4">E14-I14</f>
        <v>1050</v>
      </c>
      <c r="L14" s="5"/>
      <c r="M14" s="5"/>
    </row>
    <row r="15" spans="1:13" x14ac:dyDescent="0.25">
      <c r="A15" s="9" t="s">
        <v>999</v>
      </c>
      <c r="B15" s="9" t="s">
        <v>1000</v>
      </c>
      <c r="C15" s="9" t="s">
        <v>27</v>
      </c>
      <c r="D15" s="9" t="s">
        <v>33</v>
      </c>
      <c r="E15" s="10">
        <v>750</v>
      </c>
      <c r="G15" s="10" t="s">
        <v>37</v>
      </c>
      <c r="H15" s="10" t="s">
        <v>37</v>
      </c>
      <c r="I15" s="10">
        <v>0</v>
      </c>
      <c r="J15" s="10" t="s">
        <v>37</v>
      </c>
      <c r="K15" s="10">
        <f t="shared" si="4"/>
        <v>750</v>
      </c>
    </row>
    <row r="16" spans="1:13" x14ac:dyDescent="0.25">
      <c r="A16" s="5" t="s">
        <v>1002</v>
      </c>
      <c r="B16" s="5" t="s">
        <v>1009</v>
      </c>
      <c r="C16" s="5" t="s">
        <v>27</v>
      </c>
      <c r="D16" s="5" t="s">
        <v>33</v>
      </c>
      <c r="E16" s="4">
        <v>600</v>
      </c>
      <c r="F16" s="5"/>
      <c r="G16" s="4" t="s">
        <v>37</v>
      </c>
      <c r="H16" s="4" t="s">
        <v>37</v>
      </c>
      <c r="I16" s="4">
        <v>0</v>
      </c>
      <c r="J16" s="4" t="s">
        <v>37</v>
      </c>
      <c r="K16" s="4">
        <f t="shared" ref="K16:K20" si="5">E16-I16</f>
        <v>600</v>
      </c>
      <c r="L16" s="5"/>
      <c r="M16" s="5"/>
    </row>
    <row r="17" spans="1:21" x14ac:dyDescent="0.25">
      <c r="A17" s="5" t="s">
        <v>1003</v>
      </c>
      <c r="B17" s="5" t="s">
        <v>1004</v>
      </c>
      <c r="C17" s="5" t="s">
        <v>27</v>
      </c>
      <c r="D17" s="5" t="s">
        <v>33</v>
      </c>
      <c r="E17" s="4">
        <v>2300</v>
      </c>
      <c r="F17" s="5"/>
      <c r="G17" s="4" t="s">
        <v>1005</v>
      </c>
      <c r="H17" s="4" t="s">
        <v>1003</v>
      </c>
      <c r="I17" s="4">
        <v>639</v>
      </c>
      <c r="J17" s="4" t="s">
        <v>1006</v>
      </c>
      <c r="K17" s="4">
        <f t="shared" si="5"/>
        <v>1661</v>
      </c>
      <c r="L17" s="5"/>
      <c r="M17" s="5"/>
    </row>
    <row r="18" spans="1:21" x14ac:dyDescent="0.25">
      <c r="A18" s="5" t="s">
        <v>1003</v>
      </c>
      <c r="B18" s="5" t="s">
        <v>1007</v>
      </c>
      <c r="C18" s="5" t="s">
        <v>27</v>
      </c>
      <c r="D18" s="5" t="s">
        <v>33</v>
      </c>
      <c r="E18" s="4">
        <v>1300</v>
      </c>
      <c r="F18" s="5"/>
      <c r="G18" s="4" t="s">
        <v>1008</v>
      </c>
      <c r="H18" s="4" t="s">
        <v>1003</v>
      </c>
      <c r="I18" s="4">
        <v>650</v>
      </c>
      <c r="J18" s="4" t="s">
        <v>993</v>
      </c>
      <c r="K18" s="4">
        <f t="shared" si="5"/>
        <v>650</v>
      </c>
      <c r="L18" s="5"/>
      <c r="M18" s="5"/>
    </row>
    <row r="19" spans="1:21" x14ac:dyDescent="0.25">
      <c r="A19" s="5" t="s">
        <v>1003</v>
      </c>
      <c r="B19" s="5" t="s">
        <v>1010</v>
      </c>
      <c r="C19" s="5" t="s">
        <v>27</v>
      </c>
      <c r="D19" s="5" t="s">
        <v>33</v>
      </c>
      <c r="E19" s="4">
        <v>350</v>
      </c>
      <c r="F19" s="5"/>
      <c r="G19" s="4" t="s">
        <v>1011</v>
      </c>
      <c r="H19" s="4" t="s">
        <v>37</v>
      </c>
      <c r="I19" s="4">
        <v>0</v>
      </c>
      <c r="J19" s="4" t="s">
        <v>378</v>
      </c>
      <c r="K19" s="4">
        <f t="shared" si="5"/>
        <v>350</v>
      </c>
      <c r="L19" s="5"/>
      <c r="M19" s="5"/>
    </row>
    <row r="20" spans="1:21" x14ac:dyDescent="0.25">
      <c r="A20" s="5" t="s">
        <v>1012</v>
      </c>
      <c r="B20" s="5" t="s">
        <v>1013</v>
      </c>
      <c r="C20" s="5" t="s">
        <v>27</v>
      </c>
      <c r="D20" s="5" t="s">
        <v>33</v>
      </c>
      <c r="E20" s="4">
        <v>3000</v>
      </c>
      <c r="F20" s="5"/>
      <c r="G20" s="4" t="s">
        <v>1014</v>
      </c>
      <c r="H20" s="4" t="s">
        <v>1012</v>
      </c>
      <c r="I20" s="4">
        <v>1200</v>
      </c>
      <c r="J20" s="4"/>
      <c r="K20" s="4">
        <f t="shared" si="5"/>
        <v>1800</v>
      </c>
      <c r="L20" s="5"/>
      <c r="M20" s="5"/>
    </row>
    <row r="21" spans="1:21" x14ac:dyDescent="0.25">
      <c r="A21" s="5" t="s">
        <v>1012</v>
      </c>
      <c r="B21" s="5" t="s">
        <v>1015</v>
      </c>
      <c r="C21" s="5" t="s">
        <v>27</v>
      </c>
      <c r="D21" s="5" t="s">
        <v>33</v>
      </c>
      <c r="E21" s="4">
        <v>750</v>
      </c>
      <c r="F21" s="5"/>
      <c r="G21" s="4" t="s">
        <v>37</v>
      </c>
      <c r="H21" s="4" t="s">
        <v>37</v>
      </c>
      <c r="I21" s="4">
        <v>0</v>
      </c>
      <c r="J21" s="4" t="s">
        <v>37</v>
      </c>
      <c r="K21" s="4">
        <f t="shared" ref="K21" si="6">E21-I21</f>
        <v>750</v>
      </c>
      <c r="L21" s="5"/>
      <c r="M21" s="5"/>
    </row>
    <row r="22" spans="1:21" x14ac:dyDescent="0.25">
      <c r="A22" s="5" t="s">
        <v>1016</v>
      </c>
      <c r="B22" s="5" t="s">
        <v>1028</v>
      </c>
      <c r="C22" s="5" t="s">
        <v>27</v>
      </c>
      <c r="D22" s="5" t="s">
        <v>33</v>
      </c>
      <c r="E22" s="4">
        <v>1500</v>
      </c>
      <c r="F22" s="5"/>
      <c r="G22" s="4" t="s">
        <v>37</v>
      </c>
      <c r="H22" s="4" t="s">
        <v>37</v>
      </c>
      <c r="I22" s="4">
        <v>500</v>
      </c>
      <c r="J22" s="4" t="s">
        <v>37</v>
      </c>
      <c r="K22" s="4">
        <f t="shared" ref="K22" si="7">E22-I22</f>
        <v>1000</v>
      </c>
      <c r="L22" s="5"/>
      <c r="M22" s="5"/>
    </row>
    <row r="23" spans="1:21" x14ac:dyDescent="0.25">
      <c r="A23" s="5" t="s">
        <v>1016</v>
      </c>
      <c r="B23" s="5" t="s">
        <v>1017</v>
      </c>
      <c r="C23" s="5" t="s">
        <v>27</v>
      </c>
      <c r="D23" s="5" t="s">
        <v>33</v>
      </c>
      <c r="E23" s="4">
        <v>1600</v>
      </c>
      <c r="F23" s="5"/>
      <c r="G23" s="4" t="s">
        <v>37</v>
      </c>
      <c r="H23" s="4" t="s">
        <v>37</v>
      </c>
      <c r="I23" s="4">
        <v>450</v>
      </c>
      <c r="J23" s="4" t="s">
        <v>37</v>
      </c>
      <c r="K23" s="4">
        <f t="shared" ref="K23" si="8">E23-I23</f>
        <v>1150</v>
      </c>
      <c r="L23" s="5"/>
      <c r="M23" s="5"/>
    </row>
    <row r="24" spans="1:21" x14ac:dyDescent="0.25">
      <c r="H24" s="10"/>
      <c r="J24" s="10"/>
    </row>
    <row r="25" spans="1:21" x14ac:dyDescent="0.25">
      <c r="H25" s="10"/>
      <c r="J25" s="10"/>
    </row>
    <row r="26" spans="1:21" x14ac:dyDescent="0.25">
      <c r="F26" s="16"/>
    </row>
    <row r="27" spans="1:21" s="11" customFormat="1" x14ac:dyDescent="0.25">
      <c r="A27" s="11" t="s">
        <v>975</v>
      </c>
      <c r="E27" s="12"/>
      <c r="F27" s="17"/>
      <c r="G27" s="12"/>
      <c r="I27" s="12"/>
      <c r="K27" s="12"/>
    </row>
    <row r="28" spans="1:21" x14ac:dyDescent="0.25">
      <c r="F28" s="16"/>
    </row>
    <row r="29" spans="1:21" x14ac:dyDescent="0.25">
      <c r="A29" s="21" t="s">
        <v>983</v>
      </c>
      <c r="B29" s="21" t="s">
        <v>108</v>
      </c>
      <c r="C29" s="22">
        <v>1500</v>
      </c>
      <c r="H29" s="10"/>
      <c r="J29" s="10"/>
    </row>
    <row r="30" spans="1:21" s="10" customFormat="1" x14ac:dyDescent="0.25">
      <c r="A30" s="21" t="s">
        <v>983</v>
      </c>
      <c r="B30" s="21" t="s">
        <v>297</v>
      </c>
      <c r="C30" s="22">
        <v>1600</v>
      </c>
      <c r="D30" s="9"/>
      <c r="F30" s="16"/>
      <c r="H30" s="9"/>
      <c r="J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 s="10" customFormat="1" x14ac:dyDescent="0.25">
      <c r="A31" s="21" t="s">
        <v>984</v>
      </c>
      <c r="B31" s="21" t="s">
        <v>108</v>
      </c>
      <c r="C31" s="22">
        <v>1500</v>
      </c>
      <c r="D31" s="9"/>
      <c r="F31" s="16"/>
      <c r="H31" s="9"/>
      <c r="J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1" s="10" customFormat="1" x14ac:dyDescent="0.25">
      <c r="A32" s="21" t="s">
        <v>984</v>
      </c>
      <c r="B32" s="21" t="s">
        <v>297</v>
      </c>
      <c r="C32" s="22">
        <v>2000</v>
      </c>
      <c r="D32" s="9"/>
      <c r="F32" s="16"/>
      <c r="H32" s="16"/>
      <c r="J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10" s="10" customFormat="1" x14ac:dyDescent="0.25">
      <c r="A33" s="21" t="s">
        <v>985</v>
      </c>
      <c r="B33" s="21" t="s">
        <v>297</v>
      </c>
      <c r="C33" s="22">
        <v>2000</v>
      </c>
      <c r="D33" s="9"/>
      <c r="F33" s="16"/>
      <c r="H33" s="9"/>
      <c r="J33" s="9"/>
    </row>
    <row r="34" spans="1:10" s="10" customFormat="1" x14ac:dyDescent="0.25">
      <c r="A34" s="21" t="s">
        <v>985</v>
      </c>
      <c r="B34" s="21" t="s">
        <v>108</v>
      </c>
      <c r="C34" s="22">
        <v>1500</v>
      </c>
      <c r="D34" s="9"/>
      <c r="F34" s="16"/>
      <c r="H34" s="9"/>
      <c r="J34" s="9"/>
    </row>
    <row r="35" spans="1:10" s="4" customFormat="1" x14ac:dyDescent="0.25">
      <c r="A35" s="21" t="s">
        <v>953</v>
      </c>
      <c r="B35" s="21" t="s">
        <v>206</v>
      </c>
      <c r="C35" s="22">
        <v>6000</v>
      </c>
      <c r="D35" s="5"/>
      <c r="F35" s="5"/>
      <c r="H35" s="5">
        <v>2700</v>
      </c>
      <c r="J35" s="5"/>
    </row>
    <row r="36" spans="1:10" s="10" customFormat="1" x14ac:dyDescent="0.25">
      <c r="A36" s="19" t="s">
        <v>986</v>
      </c>
      <c r="B36" s="19" t="s">
        <v>648</v>
      </c>
      <c r="C36" s="20">
        <v>1000</v>
      </c>
      <c r="D36" s="9"/>
      <c r="F36" s="9"/>
      <c r="H36" s="9">
        <v>1200</v>
      </c>
      <c r="J36" s="9"/>
    </row>
    <row r="37" spans="1:10" s="10" customFormat="1" x14ac:dyDescent="0.25">
      <c r="A37" s="21" t="s">
        <v>986</v>
      </c>
      <c r="B37" s="21" t="s">
        <v>108</v>
      </c>
      <c r="C37" s="22">
        <v>1500</v>
      </c>
      <c r="D37" s="9"/>
      <c r="F37" s="16"/>
      <c r="H37" s="9"/>
      <c r="J37" s="9"/>
    </row>
    <row r="38" spans="1:10" s="10" customFormat="1" x14ac:dyDescent="0.25">
      <c r="A38" s="21" t="s">
        <v>986</v>
      </c>
      <c r="B38" s="21" t="s">
        <v>297</v>
      </c>
      <c r="C38" s="22">
        <v>2000</v>
      </c>
      <c r="D38" s="9"/>
      <c r="F38" s="16"/>
      <c r="H38" s="9"/>
      <c r="J38" s="9"/>
    </row>
    <row r="39" spans="1:10" s="10" customFormat="1" x14ac:dyDescent="0.25">
      <c r="A39" s="19" t="s">
        <v>1001</v>
      </c>
      <c r="B39" s="19" t="s">
        <v>398</v>
      </c>
      <c r="C39" s="20">
        <v>3000</v>
      </c>
      <c r="D39" s="9"/>
      <c r="F39" s="9"/>
      <c r="H39" s="9"/>
      <c r="J39" s="9"/>
    </row>
    <row r="40" spans="1:10" s="10" customFormat="1" x14ac:dyDescent="0.25">
      <c r="A40" s="21" t="s">
        <v>1001</v>
      </c>
      <c r="B40" s="21" t="s">
        <v>574</v>
      </c>
      <c r="C40" s="22">
        <v>500</v>
      </c>
      <c r="D40" s="9"/>
      <c r="F40" s="9"/>
      <c r="H40" s="9"/>
      <c r="J40" s="9"/>
    </row>
    <row r="41" spans="1:10" s="10" customFormat="1" x14ac:dyDescent="0.25">
      <c r="A41" s="21" t="s">
        <v>1001</v>
      </c>
      <c r="B41" s="5" t="s">
        <v>72</v>
      </c>
      <c r="C41" s="4">
        <v>550</v>
      </c>
      <c r="D41" s="9"/>
      <c r="F41" s="9"/>
      <c r="H41" s="9"/>
      <c r="J41" s="9"/>
    </row>
    <row r="42" spans="1:10" s="10" customFormat="1" x14ac:dyDescent="0.25">
      <c r="A42" s="21" t="s">
        <v>1001</v>
      </c>
      <c r="B42" s="21" t="s">
        <v>108</v>
      </c>
      <c r="C42" s="22">
        <v>1500</v>
      </c>
      <c r="D42" s="9"/>
      <c r="F42" s="9"/>
      <c r="H42" s="9"/>
      <c r="J42" s="9"/>
    </row>
    <row r="43" spans="1:10" s="10" customFormat="1" x14ac:dyDescent="0.25">
      <c r="A43" s="5" t="s">
        <v>1001</v>
      </c>
      <c r="B43" s="21" t="s">
        <v>297</v>
      </c>
      <c r="C43" s="22">
        <v>2000</v>
      </c>
      <c r="D43" s="9"/>
      <c r="F43" s="9"/>
      <c r="H43" s="9"/>
      <c r="J43" s="9"/>
    </row>
    <row r="44" spans="1:10" s="10" customFormat="1" x14ac:dyDescent="0.25">
      <c r="A44" s="9"/>
      <c r="B44" s="9"/>
      <c r="D44" s="9"/>
      <c r="F44" s="9"/>
      <c r="H44" s="9"/>
      <c r="J44" s="9"/>
    </row>
    <row r="45" spans="1:10" s="10" customFormat="1" x14ac:dyDescent="0.25">
      <c r="A45" s="9"/>
      <c r="B45" s="9"/>
      <c r="D45" s="9"/>
      <c r="F45" s="9"/>
    </row>
    <row r="46" spans="1:10" s="10" customFormat="1" x14ac:dyDescent="0.25">
      <c r="A46" s="9"/>
      <c r="B46" s="9"/>
      <c r="D46" s="9"/>
      <c r="F46" s="9"/>
    </row>
    <row r="47" spans="1:10" s="10" customFormat="1" x14ac:dyDescent="0.25">
      <c r="A47" s="9"/>
      <c r="B47" s="9"/>
      <c r="D47" s="9"/>
      <c r="F47" s="9"/>
    </row>
    <row r="48" spans="1:10" s="10" customFormat="1" x14ac:dyDescent="0.25">
      <c r="A48" s="9"/>
      <c r="B48" s="9"/>
      <c r="D48" s="9"/>
      <c r="F48" s="9"/>
    </row>
    <row r="49" spans="1:10" s="10" customFormat="1" x14ac:dyDescent="0.25">
      <c r="A49" s="9"/>
      <c r="B49" s="9"/>
      <c r="C49" s="9"/>
      <c r="D49" s="9"/>
      <c r="F49" s="9"/>
    </row>
    <row r="50" spans="1:10" s="10" customFormat="1" x14ac:dyDescent="0.25"/>
    <row r="51" spans="1:10" s="10" customFormat="1" x14ac:dyDescent="0.25"/>
    <row r="52" spans="1:10" s="10" customFormat="1" x14ac:dyDescent="0.25"/>
    <row r="53" spans="1:10" s="10" customFormat="1" x14ac:dyDescent="0.25"/>
    <row r="54" spans="1:10" s="10" customFormat="1" x14ac:dyDescent="0.25"/>
    <row r="55" spans="1:10" s="10" customFormat="1" x14ac:dyDescent="0.25"/>
    <row r="56" spans="1:10" s="10" customFormat="1" x14ac:dyDescent="0.25"/>
    <row r="57" spans="1:10" s="10" customFormat="1" x14ac:dyDescent="0.25">
      <c r="H57" s="9"/>
      <c r="J57" s="9"/>
    </row>
    <row r="58" spans="1:10" s="10" customFormat="1" x14ac:dyDescent="0.25">
      <c r="H58" s="9"/>
      <c r="J58" s="9"/>
    </row>
    <row r="59" spans="1:10" s="10" customFormat="1" x14ac:dyDescent="0.25">
      <c r="H59" s="9"/>
      <c r="J59" s="9"/>
    </row>
    <row r="60" spans="1:10" s="10" customFormat="1" x14ac:dyDescent="0.25">
      <c r="H60" s="9"/>
      <c r="J60" s="9"/>
    </row>
    <row r="61" spans="1:10" s="10" customFormat="1" x14ac:dyDescent="0.25">
      <c r="H61" s="9"/>
      <c r="J61" s="9"/>
    </row>
    <row r="62" spans="1:10" s="10" customFormat="1" x14ac:dyDescent="0.25">
      <c r="H62" s="9"/>
      <c r="J62" s="9"/>
    </row>
    <row r="63" spans="1:10" s="10" customFormat="1" x14ac:dyDescent="0.25">
      <c r="H63" s="9"/>
      <c r="J63" s="9"/>
    </row>
    <row r="64" spans="1:10" s="10" customFormat="1" x14ac:dyDescent="0.25">
      <c r="H64" s="9"/>
      <c r="J64" s="9"/>
    </row>
    <row r="65" spans="1:11" s="10" customFormat="1" x14ac:dyDescent="0.25">
      <c r="H65" s="9"/>
      <c r="J65" s="9"/>
    </row>
    <row r="66" spans="1:11" s="10" customFormat="1" x14ac:dyDescent="0.25">
      <c r="H66" s="9"/>
      <c r="J66" s="9"/>
    </row>
    <row r="67" spans="1:11" s="10" customFormat="1" x14ac:dyDescent="0.25">
      <c r="H67" s="9"/>
      <c r="J67" s="9"/>
    </row>
    <row r="68" spans="1:11" s="10" customFormat="1" x14ac:dyDescent="0.25">
      <c r="H68" s="9"/>
      <c r="J68" s="9"/>
    </row>
    <row r="69" spans="1:11" s="10" customFormat="1" x14ac:dyDescent="0.25">
      <c r="H69" s="9"/>
      <c r="J69" s="9"/>
    </row>
    <row r="70" spans="1:11" s="10" customFormat="1" x14ac:dyDescent="0.25">
      <c r="H70" s="9"/>
      <c r="J70" s="9"/>
    </row>
    <row r="71" spans="1:11" s="11" customFormat="1" x14ac:dyDescent="0.25">
      <c r="C71" s="12"/>
      <c r="E71" s="12"/>
      <c r="G71" s="12"/>
      <c r="I71" s="12"/>
      <c r="K71" s="12"/>
    </row>
    <row r="72" spans="1:11" x14ac:dyDescent="0.25">
      <c r="C72" s="10"/>
    </row>
    <row r="73" spans="1:11" x14ac:dyDescent="0.25">
      <c r="A73" s="13"/>
      <c r="C73" s="10"/>
    </row>
    <row r="74" spans="1:11" x14ac:dyDescent="0.25">
      <c r="C74" s="10"/>
    </row>
    <row r="75" spans="1:11" x14ac:dyDescent="0.25">
      <c r="C75" s="10"/>
    </row>
    <row r="76" spans="1:11" x14ac:dyDescent="0.25">
      <c r="C76" s="10"/>
    </row>
    <row r="77" spans="1:11" x14ac:dyDescent="0.25">
      <c r="C77" s="10"/>
    </row>
    <row r="78" spans="1:11" x14ac:dyDescent="0.25">
      <c r="C78" s="10"/>
    </row>
    <row r="79" spans="1:11" x14ac:dyDescent="0.25">
      <c r="C79" s="10"/>
    </row>
    <row r="80" spans="1:11" x14ac:dyDescent="0.25"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84" spans="3:3" x14ac:dyDescent="0.25">
      <c r="C84" s="10"/>
    </row>
    <row r="85" spans="3:3" x14ac:dyDescent="0.25">
      <c r="C85" s="10"/>
    </row>
    <row r="86" spans="3:3" x14ac:dyDescent="0.25">
      <c r="C86" s="10"/>
    </row>
    <row r="87" spans="3:3" x14ac:dyDescent="0.25">
      <c r="C87" s="10"/>
    </row>
    <row r="88" spans="3:3" x14ac:dyDescent="0.25">
      <c r="C88" s="10"/>
    </row>
    <row r="89" spans="3:3" x14ac:dyDescent="0.25">
      <c r="C89" s="10"/>
    </row>
    <row r="1048555" spans="1:21" s="10" customFormat="1" x14ac:dyDescent="0.25">
      <c r="A1048555" s="9"/>
      <c r="B1048555" s="9"/>
      <c r="C1048555" s="9"/>
      <c r="D1048555" s="9"/>
      <c r="F1048555" s="9"/>
      <c r="H1048555" s="9"/>
      <c r="L1048555" s="9"/>
      <c r="M1048555" s="9"/>
      <c r="N1048555" s="9"/>
      <c r="O1048555" s="9"/>
      <c r="P1048555" s="9"/>
      <c r="Q1048555" s="9"/>
      <c r="R1048555" s="9"/>
      <c r="S1048555" s="9"/>
      <c r="T1048555" s="9"/>
      <c r="U1048555" s="9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1048556"/>
  <sheetViews>
    <sheetView workbookViewId="0">
      <pane ySplit="3" topLeftCell="A16" activePane="bottomLeft" state="frozen"/>
      <selection activeCell="K26" activeCellId="1" sqref="K29:K30 K26"/>
      <selection pane="bottomLeft" activeCell="E24" sqref="E24:G24"/>
    </sheetView>
  </sheetViews>
  <sheetFormatPr baseColWidth="10" defaultColWidth="10.7109375" defaultRowHeight="15" x14ac:dyDescent="0.25"/>
  <cols>
    <col min="1" max="1" width="22.7109375" style="9" customWidth="1"/>
    <col min="2" max="2" width="62.28515625" style="9" customWidth="1"/>
    <col min="3" max="3" width="22.42578125" style="9" customWidth="1"/>
    <col min="4" max="4" width="37.5703125" style="9" customWidth="1"/>
    <col min="5" max="5" width="10.7109375" style="10"/>
    <col min="6" max="6" width="6.140625" style="9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2" s="11" customFormat="1" x14ac:dyDescent="0.25">
      <c r="A1" s="11" t="s">
        <v>0</v>
      </c>
      <c r="E1" s="12"/>
      <c r="G1" s="12"/>
      <c r="I1" s="12"/>
    </row>
    <row r="3" spans="1:12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12" t="s">
        <v>13</v>
      </c>
    </row>
    <row r="4" spans="1:12" x14ac:dyDescent="0.25">
      <c r="A4" s="5" t="s">
        <v>1029</v>
      </c>
      <c r="B4" s="5" t="s">
        <v>1030</v>
      </c>
      <c r="C4" s="5" t="s">
        <v>27</v>
      </c>
      <c r="D4" s="5" t="s">
        <v>33</v>
      </c>
      <c r="E4" s="4">
        <v>650</v>
      </c>
      <c r="F4" s="5"/>
      <c r="G4" s="4" t="s">
        <v>1031</v>
      </c>
      <c r="H4" s="4" t="s">
        <v>1029</v>
      </c>
      <c r="I4" s="4">
        <v>350</v>
      </c>
      <c r="J4" s="4" t="s">
        <v>403</v>
      </c>
      <c r="K4" s="4">
        <f>E4-I4</f>
        <v>300</v>
      </c>
      <c r="L4" s="5"/>
    </row>
    <row r="5" spans="1:12" x14ac:dyDescent="0.25">
      <c r="A5" s="9" t="s">
        <v>1029</v>
      </c>
      <c r="B5" s="9" t="s">
        <v>1032</v>
      </c>
      <c r="H5" s="10"/>
      <c r="J5" s="10"/>
    </row>
    <row r="6" spans="1:12" x14ac:dyDescent="0.25">
      <c r="A6" s="9" t="s">
        <v>1029</v>
      </c>
      <c r="B6" s="9" t="s">
        <v>1033</v>
      </c>
      <c r="H6" s="10"/>
      <c r="J6" s="10"/>
    </row>
    <row r="7" spans="1:12" x14ac:dyDescent="0.25">
      <c r="A7" s="5" t="s">
        <v>1029</v>
      </c>
      <c r="B7" s="5" t="s">
        <v>1034</v>
      </c>
      <c r="C7" s="5" t="s">
        <v>27</v>
      </c>
      <c r="D7" s="5" t="s">
        <v>1035</v>
      </c>
      <c r="E7" s="4">
        <v>1900</v>
      </c>
      <c r="F7" s="5"/>
      <c r="G7" s="4" t="s">
        <v>131</v>
      </c>
      <c r="H7" s="4" t="s">
        <v>1029</v>
      </c>
      <c r="I7" s="4">
        <v>650</v>
      </c>
      <c r="J7" s="4" t="s">
        <v>426</v>
      </c>
      <c r="K7" s="4">
        <f t="shared" ref="K7:K13" si="0">E7-I7</f>
        <v>1250</v>
      </c>
      <c r="L7" s="5"/>
    </row>
    <row r="8" spans="1:12" x14ac:dyDescent="0.25">
      <c r="A8" s="5" t="s">
        <v>1019</v>
      </c>
      <c r="B8" s="5" t="s">
        <v>1036</v>
      </c>
      <c r="C8" s="5" t="s">
        <v>27</v>
      </c>
      <c r="D8" s="5" t="s">
        <v>33</v>
      </c>
      <c r="E8" s="4">
        <v>1400</v>
      </c>
      <c r="F8" s="5"/>
      <c r="G8" s="4" t="s">
        <v>37</v>
      </c>
      <c r="H8" s="4" t="s">
        <v>37</v>
      </c>
      <c r="I8" s="4">
        <v>0</v>
      </c>
      <c r="J8" s="4" t="s">
        <v>37</v>
      </c>
      <c r="K8" s="4">
        <f t="shared" si="0"/>
        <v>1400</v>
      </c>
      <c r="L8" s="5"/>
    </row>
    <row r="9" spans="1:12" x14ac:dyDescent="0.25">
      <c r="A9" s="5" t="s">
        <v>1038</v>
      </c>
      <c r="B9" s="5" t="s">
        <v>1039</v>
      </c>
      <c r="C9" s="5" t="s">
        <v>27</v>
      </c>
      <c r="D9" s="5" t="s">
        <v>33</v>
      </c>
      <c r="E9" s="4">
        <v>2700</v>
      </c>
      <c r="F9" s="5"/>
      <c r="G9" s="4" t="s">
        <v>37</v>
      </c>
      <c r="H9" s="4" t="s">
        <v>1040</v>
      </c>
      <c r="I9" s="4">
        <f>1200</f>
        <v>1200</v>
      </c>
      <c r="J9" s="4" t="s">
        <v>1041</v>
      </c>
      <c r="K9" s="4">
        <f t="shared" si="0"/>
        <v>1500</v>
      </c>
      <c r="L9" s="5"/>
    </row>
    <row r="10" spans="1:12" x14ac:dyDescent="0.25">
      <c r="A10" s="5" t="s">
        <v>1038</v>
      </c>
      <c r="B10" s="5" t="s">
        <v>1042</v>
      </c>
      <c r="C10" s="5" t="s">
        <v>27</v>
      </c>
      <c r="D10" s="5" t="s">
        <v>36</v>
      </c>
      <c r="E10" s="4">
        <v>2400</v>
      </c>
      <c r="F10" s="5"/>
      <c r="G10" s="4" t="s">
        <v>1043</v>
      </c>
      <c r="H10" s="4" t="s">
        <v>1038</v>
      </c>
      <c r="I10" s="4">
        <v>1000</v>
      </c>
      <c r="J10" s="4" t="s">
        <v>1044</v>
      </c>
      <c r="K10" s="4">
        <f t="shared" si="0"/>
        <v>1400</v>
      </c>
      <c r="L10" s="5"/>
    </row>
    <row r="11" spans="1:12" x14ac:dyDescent="0.25">
      <c r="A11" s="5" t="s">
        <v>1038</v>
      </c>
      <c r="B11" s="5" t="s">
        <v>1042</v>
      </c>
      <c r="C11" s="5" t="s">
        <v>27</v>
      </c>
      <c r="D11" s="5" t="s">
        <v>36</v>
      </c>
      <c r="E11" s="4">
        <v>2400</v>
      </c>
      <c r="F11" s="5"/>
      <c r="G11" s="4" t="s">
        <v>1043</v>
      </c>
      <c r="H11" s="4" t="s">
        <v>1038</v>
      </c>
      <c r="I11" s="4">
        <v>1000</v>
      </c>
      <c r="J11" s="4" t="s">
        <v>1044</v>
      </c>
      <c r="K11" s="4">
        <f t="shared" si="0"/>
        <v>1400</v>
      </c>
      <c r="L11" s="5"/>
    </row>
    <row r="12" spans="1:12" x14ac:dyDescent="0.25">
      <c r="A12" s="5" t="s">
        <v>1038</v>
      </c>
      <c r="B12" s="5" t="s">
        <v>1042</v>
      </c>
      <c r="C12" s="5" t="s">
        <v>27</v>
      </c>
      <c r="D12" s="5" t="s">
        <v>36</v>
      </c>
      <c r="E12" s="4">
        <v>2400</v>
      </c>
      <c r="F12" s="5"/>
      <c r="G12" s="4" t="s">
        <v>1043</v>
      </c>
      <c r="H12" s="4" t="s">
        <v>1038</v>
      </c>
      <c r="I12" s="4">
        <v>1000</v>
      </c>
      <c r="J12" s="4" t="s">
        <v>1044</v>
      </c>
      <c r="K12" s="4">
        <f t="shared" si="0"/>
        <v>1400</v>
      </c>
      <c r="L12" s="5"/>
    </row>
    <row r="13" spans="1:12" x14ac:dyDescent="0.25">
      <c r="A13" s="5" t="s">
        <v>1038</v>
      </c>
      <c r="B13" s="5" t="s">
        <v>1042</v>
      </c>
      <c r="C13" s="5" t="s">
        <v>27</v>
      </c>
      <c r="D13" s="5" t="s">
        <v>36</v>
      </c>
      <c r="E13" s="4">
        <v>2400</v>
      </c>
      <c r="F13" s="5"/>
      <c r="G13" s="4" t="s">
        <v>1043</v>
      </c>
      <c r="H13" s="4" t="s">
        <v>1038</v>
      </c>
      <c r="I13" s="4">
        <v>1000</v>
      </c>
      <c r="J13" s="4" t="s">
        <v>1044</v>
      </c>
      <c r="K13" s="4">
        <f t="shared" si="0"/>
        <v>1400</v>
      </c>
      <c r="L13" s="5"/>
    </row>
    <row r="14" spans="1:12" x14ac:dyDescent="0.25">
      <c r="H14" s="10"/>
      <c r="J14" s="10"/>
    </row>
    <row r="15" spans="1:12" x14ac:dyDescent="0.25">
      <c r="H15" s="10"/>
      <c r="J15" s="10"/>
    </row>
    <row r="16" spans="1:12" x14ac:dyDescent="0.25">
      <c r="H16" s="10"/>
      <c r="J16" s="10"/>
    </row>
    <row r="17" spans="1:21" x14ac:dyDescent="0.25">
      <c r="H17" s="10"/>
      <c r="J17" s="10"/>
    </row>
    <row r="18" spans="1:21" x14ac:dyDescent="0.25">
      <c r="H18" s="10"/>
      <c r="J18" s="10"/>
    </row>
    <row r="19" spans="1:21" x14ac:dyDescent="0.25">
      <c r="H19" s="10"/>
      <c r="J19" s="10"/>
    </row>
    <row r="20" spans="1:21" x14ac:dyDescent="0.25">
      <c r="H20" s="10"/>
      <c r="J20" s="10"/>
    </row>
    <row r="21" spans="1:21" x14ac:dyDescent="0.25">
      <c r="H21" s="10"/>
      <c r="J21" s="10"/>
    </row>
    <row r="22" spans="1:21" x14ac:dyDescent="0.25">
      <c r="H22" s="10"/>
      <c r="J22" s="10"/>
    </row>
    <row r="23" spans="1:21" x14ac:dyDescent="0.25">
      <c r="H23" s="10"/>
      <c r="J23" s="10"/>
    </row>
    <row r="24" spans="1:21" x14ac:dyDescent="0.25">
      <c r="E24" s="4">
        <v>4000</v>
      </c>
      <c r="F24" s="5" t="s">
        <v>1037</v>
      </c>
      <c r="G24" s="4"/>
      <c r="H24" s="10"/>
      <c r="J24" s="10"/>
    </row>
    <row r="25" spans="1:21" x14ac:dyDescent="0.25">
      <c r="H25" s="10"/>
      <c r="J25" s="10"/>
    </row>
    <row r="26" spans="1:21" x14ac:dyDescent="0.25">
      <c r="F26" s="16"/>
    </row>
    <row r="27" spans="1:21" s="11" customFormat="1" x14ac:dyDescent="0.25">
      <c r="A27" s="11" t="s">
        <v>1018</v>
      </c>
      <c r="E27" s="12"/>
      <c r="F27" s="17"/>
      <c r="G27" s="12"/>
      <c r="I27" s="12"/>
      <c r="K27" s="12"/>
    </row>
    <row r="28" spans="1:21" x14ac:dyDescent="0.25">
      <c r="F28" s="16"/>
    </row>
    <row r="29" spans="1:21" x14ac:dyDescent="0.25">
      <c r="A29" s="21" t="s">
        <v>1019</v>
      </c>
      <c r="B29" s="21" t="s">
        <v>108</v>
      </c>
      <c r="C29" s="22">
        <v>1500</v>
      </c>
      <c r="H29" s="10"/>
      <c r="J29" s="10"/>
    </row>
    <row r="30" spans="1:21" s="10" customFormat="1" x14ac:dyDescent="0.25">
      <c r="A30" s="21" t="s">
        <v>1019</v>
      </c>
      <c r="B30" s="21" t="s">
        <v>297</v>
      </c>
      <c r="C30" s="22">
        <v>1500</v>
      </c>
      <c r="D30" s="9"/>
      <c r="F30" s="16"/>
      <c r="H30" s="9"/>
      <c r="J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 s="10" customFormat="1" x14ac:dyDescent="0.25">
      <c r="A31" s="21" t="s">
        <v>1020</v>
      </c>
      <c r="B31" s="21" t="s">
        <v>108</v>
      </c>
      <c r="C31" s="22">
        <v>1500</v>
      </c>
      <c r="D31" s="9"/>
      <c r="F31" s="16"/>
      <c r="H31" s="9"/>
      <c r="J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1" s="10" customFormat="1" x14ac:dyDescent="0.25">
      <c r="A32" s="21" t="s">
        <v>1020</v>
      </c>
      <c r="B32" s="21" t="s">
        <v>297</v>
      </c>
      <c r="C32" s="22">
        <v>2000</v>
      </c>
      <c r="D32" s="9"/>
      <c r="F32" s="16"/>
      <c r="H32" s="16"/>
      <c r="J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10" s="10" customFormat="1" x14ac:dyDescent="0.25">
      <c r="A33" s="19" t="s">
        <v>1021</v>
      </c>
      <c r="B33" s="19" t="s">
        <v>297</v>
      </c>
      <c r="C33" s="20">
        <v>2000</v>
      </c>
      <c r="D33" s="9"/>
      <c r="F33" s="16"/>
      <c r="H33" s="9"/>
      <c r="J33" s="9"/>
    </row>
    <row r="34" spans="1:10" s="10" customFormat="1" x14ac:dyDescent="0.25">
      <c r="A34" s="19" t="s">
        <v>1021</v>
      </c>
      <c r="B34" s="19" t="s">
        <v>108</v>
      </c>
      <c r="C34" s="20">
        <v>1500</v>
      </c>
      <c r="D34" s="9"/>
      <c r="F34" s="16"/>
      <c r="H34" s="9"/>
      <c r="J34" s="9"/>
    </row>
    <row r="35" spans="1:10" s="10" customFormat="1" x14ac:dyDescent="0.25">
      <c r="A35" s="21" t="s">
        <v>1021</v>
      </c>
      <c r="B35" s="21" t="s">
        <v>500</v>
      </c>
      <c r="C35" s="22">
        <v>4000</v>
      </c>
      <c r="D35" s="9"/>
      <c r="F35" s="16"/>
      <c r="H35" s="9"/>
      <c r="J35" s="9"/>
    </row>
    <row r="36" spans="1:10" s="10" customFormat="1" x14ac:dyDescent="0.25">
      <c r="A36" s="21" t="s">
        <v>1021</v>
      </c>
      <c r="B36" s="21" t="s">
        <v>1022</v>
      </c>
      <c r="C36" s="22">
        <v>3000</v>
      </c>
      <c r="D36" s="9"/>
      <c r="F36" s="16"/>
      <c r="H36" s="9"/>
      <c r="J36" s="9"/>
    </row>
    <row r="37" spans="1:10" s="10" customFormat="1" x14ac:dyDescent="0.25">
      <c r="A37" s="19" t="s">
        <v>1023</v>
      </c>
      <c r="B37" s="19" t="s">
        <v>206</v>
      </c>
      <c r="C37" s="20">
        <v>6300</v>
      </c>
      <c r="D37" s="9"/>
      <c r="F37" s="9"/>
      <c r="H37" s="9"/>
      <c r="J37" s="9"/>
    </row>
    <row r="38" spans="1:10" s="10" customFormat="1" x14ac:dyDescent="0.25">
      <c r="A38" s="19" t="s">
        <v>1025</v>
      </c>
      <c r="B38" s="19" t="s">
        <v>108</v>
      </c>
      <c r="C38" s="20">
        <v>1500</v>
      </c>
      <c r="D38" s="9"/>
      <c r="F38" s="16"/>
      <c r="H38" s="9"/>
      <c r="J38" s="9"/>
    </row>
    <row r="39" spans="1:10" s="10" customFormat="1" x14ac:dyDescent="0.25">
      <c r="A39" s="19" t="s">
        <v>1025</v>
      </c>
      <c r="B39" s="19" t="s">
        <v>297</v>
      </c>
      <c r="C39" s="20">
        <v>1500</v>
      </c>
      <c r="D39" s="9"/>
      <c r="F39" s="16"/>
      <c r="H39" s="9"/>
      <c r="J39" s="9"/>
    </row>
    <row r="40" spans="1:10" s="10" customFormat="1" x14ac:dyDescent="0.25">
      <c r="A40" s="19" t="s">
        <v>1024</v>
      </c>
      <c r="B40" s="19" t="s">
        <v>648</v>
      </c>
      <c r="C40" s="20">
        <v>1000</v>
      </c>
      <c r="D40" s="9"/>
      <c r="F40" s="9"/>
      <c r="H40" s="9"/>
      <c r="J40" s="9"/>
    </row>
    <row r="41" spans="1:10" s="10" customFormat="1" x14ac:dyDescent="0.25">
      <c r="A41" s="19" t="s">
        <v>1024</v>
      </c>
      <c r="B41" s="19" t="s">
        <v>1026</v>
      </c>
      <c r="C41" s="20">
        <v>3000</v>
      </c>
      <c r="D41" s="9"/>
      <c r="F41" s="9"/>
      <c r="H41" s="9"/>
      <c r="J41" s="9"/>
    </row>
    <row r="42" spans="1:10" s="10" customFormat="1" x14ac:dyDescent="0.25">
      <c r="A42" s="19" t="s">
        <v>1024</v>
      </c>
      <c r="B42" s="9" t="s">
        <v>72</v>
      </c>
      <c r="C42" s="10">
        <v>550</v>
      </c>
      <c r="D42" s="9"/>
      <c r="F42" s="9"/>
      <c r="H42" s="9"/>
      <c r="J42" s="9"/>
    </row>
    <row r="43" spans="1:10" s="10" customFormat="1" x14ac:dyDescent="0.25">
      <c r="A43" s="19"/>
      <c r="B43" s="19"/>
      <c r="C43" s="20"/>
      <c r="D43" s="9"/>
      <c r="F43" s="9"/>
      <c r="H43" s="9"/>
      <c r="J43" s="9"/>
    </row>
    <row r="44" spans="1:10" s="10" customFormat="1" x14ac:dyDescent="0.25">
      <c r="A44" s="9"/>
      <c r="B44" s="19"/>
      <c r="C44" s="20"/>
      <c r="D44" s="9"/>
      <c r="F44" s="9"/>
      <c r="H44" s="9"/>
      <c r="J44" s="9"/>
    </row>
    <row r="45" spans="1:10" s="10" customFormat="1" x14ac:dyDescent="0.25">
      <c r="A45" s="9"/>
      <c r="B45" s="9"/>
      <c r="D45" s="9"/>
      <c r="F45" s="9"/>
      <c r="H45" s="9"/>
      <c r="J45" s="9"/>
    </row>
    <row r="46" spans="1:10" s="10" customFormat="1" x14ac:dyDescent="0.25">
      <c r="A46" s="9"/>
      <c r="B46" s="9"/>
      <c r="D46" s="9"/>
      <c r="F46" s="9"/>
    </row>
    <row r="47" spans="1:10" s="10" customFormat="1" x14ac:dyDescent="0.25">
      <c r="A47" s="9"/>
      <c r="B47" s="9"/>
      <c r="D47" s="9"/>
      <c r="F47" s="9"/>
    </row>
    <row r="48" spans="1:10" s="10" customFormat="1" x14ac:dyDescent="0.25">
      <c r="A48" s="9"/>
      <c r="B48" s="9"/>
      <c r="D48" s="9"/>
      <c r="F48" s="9"/>
    </row>
    <row r="49" spans="1:10" s="10" customFormat="1" x14ac:dyDescent="0.25">
      <c r="A49" s="9"/>
      <c r="B49" s="9"/>
      <c r="D49" s="9"/>
      <c r="F49" s="9"/>
    </row>
    <row r="50" spans="1:10" s="10" customFormat="1" x14ac:dyDescent="0.25">
      <c r="A50" s="9"/>
      <c r="B50" s="9"/>
      <c r="C50" s="9"/>
      <c r="D50" s="9"/>
      <c r="F50" s="9"/>
    </row>
    <row r="51" spans="1:10" s="10" customFormat="1" x14ac:dyDescent="0.25"/>
    <row r="52" spans="1:10" s="10" customFormat="1" x14ac:dyDescent="0.25"/>
    <row r="53" spans="1:10" s="10" customFormat="1" x14ac:dyDescent="0.25"/>
    <row r="54" spans="1:10" s="10" customFormat="1" x14ac:dyDescent="0.25"/>
    <row r="55" spans="1:10" s="10" customFormat="1" x14ac:dyDescent="0.25"/>
    <row r="56" spans="1:10" s="10" customFormat="1" x14ac:dyDescent="0.25"/>
    <row r="57" spans="1:10" s="10" customFormat="1" x14ac:dyDescent="0.25"/>
    <row r="58" spans="1:10" s="10" customFormat="1" x14ac:dyDescent="0.25">
      <c r="H58" s="9"/>
      <c r="J58" s="9"/>
    </row>
    <row r="59" spans="1:10" s="10" customFormat="1" x14ac:dyDescent="0.25">
      <c r="H59" s="9"/>
      <c r="J59" s="9"/>
    </row>
    <row r="60" spans="1:10" s="10" customFormat="1" x14ac:dyDescent="0.25">
      <c r="H60" s="9"/>
      <c r="J60" s="9"/>
    </row>
    <row r="61" spans="1:10" s="10" customFormat="1" x14ac:dyDescent="0.25">
      <c r="H61" s="9"/>
      <c r="J61" s="9"/>
    </row>
    <row r="62" spans="1:10" s="10" customFormat="1" x14ac:dyDescent="0.25">
      <c r="H62" s="9"/>
      <c r="J62" s="9"/>
    </row>
    <row r="63" spans="1:10" s="10" customFormat="1" x14ac:dyDescent="0.25">
      <c r="H63" s="9"/>
      <c r="J63" s="9"/>
    </row>
    <row r="64" spans="1:10" s="10" customFormat="1" x14ac:dyDescent="0.25">
      <c r="H64" s="9"/>
      <c r="J64" s="9"/>
    </row>
    <row r="65" spans="1:11" s="10" customFormat="1" x14ac:dyDescent="0.25">
      <c r="H65" s="9"/>
      <c r="J65" s="9"/>
    </row>
    <row r="66" spans="1:11" s="10" customFormat="1" x14ac:dyDescent="0.25">
      <c r="H66" s="9"/>
      <c r="J66" s="9"/>
    </row>
    <row r="67" spans="1:11" s="10" customFormat="1" x14ac:dyDescent="0.25">
      <c r="H67" s="9"/>
      <c r="J67" s="9"/>
    </row>
    <row r="68" spans="1:11" s="10" customFormat="1" x14ac:dyDescent="0.25">
      <c r="H68" s="9"/>
      <c r="J68" s="9"/>
    </row>
    <row r="69" spans="1:11" s="10" customFormat="1" x14ac:dyDescent="0.25">
      <c r="H69" s="9"/>
      <c r="J69" s="9"/>
    </row>
    <row r="70" spans="1:11" s="10" customFormat="1" x14ac:dyDescent="0.25">
      <c r="H70" s="9"/>
      <c r="J70" s="9"/>
    </row>
    <row r="71" spans="1:11" s="10" customFormat="1" x14ac:dyDescent="0.25">
      <c r="H71" s="9"/>
      <c r="J71" s="9"/>
    </row>
    <row r="72" spans="1:11" s="11" customFormat="1" x14ac:dyDescent="0.25">
      <c r="C72" s="12"/>
      <c r="E72" s="12"/>
      <c r="G72" s="12"/>
      <c r="I72" s="12"/>
      <c r="K72" s="12"/>
    </row>
    <row r="73" spans="1:11" x14ac:dyDescent="0.25">
      <c r="C73" s="10"/>
    </row>
    <row r="74" spans="1:11" x14ac:dyDescent="0.25">
      <c r="A74" s="13"/>
      <c r="C74" s="10"/>
    </row>
    <row r="75" spans="1:11" x14ac:dyDescent="0.25">
      <c r="C75" s="10"/>
    </row>
    <row r="76" spans="1:11" x14ac:dyDescent="0.25">
      <c r="C76" s="10"/>
    </row>
    <row r="77" spans="1:11" x14ac:dyDescent="0.25">
      <c r="C77" s="10"/>
    </row>
    <row r="78" spans="1:11" x14ac:dyDescent="0.25">
      <c r="C78" s="10"/>
    </row>
    <row r="79" spans="1:11" x14ac:dyDescent="0.25">
      <c r="C79" s="10"/>
    </row>
    <row r="80" spans="1:11" x14ac:dyDescent="0.25"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84" spans="3:3" x14ac:dyDescent="0.25">
      <c r="C84" s="10"/>
    </row>
    <row r="85" spans="3:3" x14ac:dyDescent="0.25">
      <c r="C85" s="10"/>
    </row>
    <row r="86" spans="3:3" x14ac:dyDescent="0.25">
      <c r="C86" s="10"/>
    </row>
    <row r="87" spans="3:3" x14ac:dyDescent="0.25">
      <c r="C87" s="10"/>
    </row>
    <row r="88" spans="3:3" x14ac:dyDescent="0.25">
      <c r="C88" s="10"/>
    </row>
    <row r="89" spans="3:3" x14ac:dyDescent="0.25">
      <c r="C89" s="10"/>
    </row>
    <row r="90" spans="3:3" x14ac:dyDescent="0.25">
      <c r="C90" s="10"/>
    </row>
    <row r="1048556" spans="1:21" s="10" customFormat="1" x14ac:dyDescent="0.25">
      <c r="A1048556" s="9"/>
      <c r="B1048556" s="9"/>
      <c r="C1048556" s="9"/>
      <c r="D1048556" s="9"/>
      <c r="F1048556" s="9"/>
      <c r="H1048556" s="9"/>
      <c r="L1048556" s="9"/>
      <c r="M1048556" s="9"/>
      <c r="N1048556" s="9"/>
      <c r="O1048556" s="9"/>
      <c r="P1048556" s="9"/>
      <c r="Q1048556" s="9"/>
      <c r="R1048556" s="9"/>
      <c r="S1048556" s="9"/>
      <c r="T1048556" s="9"/>
      <c r="U1048556" s="9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1048553"/>
  <sheetViews>
    <sheetView topLeftCell="B1" workbookViewId="0">
      <pane ySplit="3" topLeftCell="A16" activePane="bottomLeft" state="frozen"/>
      <selection activeCell="K26" activeCellId="1" sqref="K29:K30 K26"/>
      <selection pane="bottomLeft" activeCell="A25" sqref="A25:L25"/>
    </sheetView>
  </sheetViews>
  <sheetFormatPr baseColWidth="10" defaultColWidth="10.7109375" defaultRowHeight="15" x14ac:dyDescent="0.25"/>
  <cols>
    <col min="1" max="1" width="22.7109375" style="9" customWidth="1"/>
    <col min="2" max="2" width="62.28515625" style="9" customWidth="1"/>
    <col min="3" max="3" width="22.42578125" style="9" customWidth="1"/>
    <col min="4" max="4" width="37.5703125" style="9" customWidth="1"/>
    <col min="5" max="5" width="10.7109375" style="10"/>
    <col min="6" max="6" width="6.140625" style="9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2" s="11" customFormat="1" x14ac:dyDescent="0.25">
      <c r="A1" s="11" t="s">
        <v>0</v>
      </c>
      <c r="E1" s="12"/>
      <c r="G1" s="12"/>
      <c r="I1" s="12"/>
    </row>
    <row r="3" spans="1:12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12" t="s">
        <v>13</v>
      </c>
    </row>
    <row r="4" spans="1:12" x14ac:dyDescent="0.25">
      <c r="A4" s="5" t="s">
        <v>1045</v>
      </c>
      <c r="B4" s="5" t="s">
        <v>1046</v>
      </c>
      <c r="C4" s="5" t="s">
        <v>27</v>
      </c>
      <c r="D4" s="5" t="s">
        <v>33</v>
      </c>
      <c r="E4" s="4">
        <v>1500</v>
      </c>
      <c r="F4" s="5"/>
      <c r="G4" s="4" t="s">
        <v>1031</v>
      </c>
      <c r="H4" s="4" t="s">
        <v>1045</v>
      </c>
      <c r="I4" s="4">
        <v>800</v>
      </c>
      <c r="J4" s="4" t="s">
        <v>403</v>
      </c>
      <c r="K4" s="4">
        <f t="shared" ref="K4:K11" si="0">E4-I4</f>
        <v>700</v>
      </c>
      <c r="L4" s="5"/>
    </row>
    <row r="5" spans="1:12" x14ac:dyDescent="0.25">
      <c r="A5" s="9" t="s">
        <v>1045</v>
      </c>
      <c r="B5" s="9" t="s">
        <v>1056</v>
      </c>
      <c r="C5" s="9" t="s">
        <v>27</v>
      </c>
      <c r="D5" s="9" t="s">
        <v>124</v>
      </c>
      <c r="E5" s="10">
        <v>2400</v>
      </c>
      <c r="G5" s="10" t="s">
        <v>1049</v>
      </c>
      <c r="H5" s="10" t="s">
        <v>1045</v>
      </c>
      <c r="I5" s="10">
        <v>800</v>
      </c>
      <c r="J5" s="10" t="s">
        <v>66</v>
      </c>
      <c r="K5" s="10">
        <f t="shared" si="0"/>
        <v>1600</v>
      </c>
    </row>
    <row r="6" spans="1:12" x14ac:dyDescent="0.25">
      <c r="A6" s="5" t="s">
        <v>1050</v>
      </c>
      <c r="B6" s="5" t="s">
        <v>1051</v>
      </c>
      <c r="C6" s="5" t="s">
        <v>27</v>
      </c>
      <c r="D6" s="5" t="s">
        <v>1052</v>
      </c>
      <c r="E6" s="4">
        <v>3800</v>
      </c>
      <c r="F6" s="5"/>
      <c r="G6" s="4" t="s">
        <v>1053</v>
      </c>
      <c r="H6" s="4" t="s">
        <v>1054</v>
      </c>
      <c r="I6" s="4">
        <v>3084</v>
      </c>
      <c r="J6" s="4" t="s">
        <v>65</v>
      </c>
      <c r="K6" s="4">
        <f t="shared" si="0"/>
        <v>716</v>
      </c>
      <c r="L6" s="5"/>
    </row>
    <row r="7" spans="1:12" x14ac:dyDescent="0.25">
      <c r="A7" s="5" t="s">
        <v>1054</v>
      </c>
      <c r="B7" s="5" t="s">
        <v>1055</v>
      </c>
      <c r="C7" s="5" t="s">
        <v>27</v>
      </c>
      <c r="D7" s="5" t="s">
        <v>33</v>
      </c>
      <c r="E7" s="4">
        <v>4000</v>
      </c>
      <c r="F7" s="5"/>
      <c r="G7" s="4" t="s">
        <v>178</v>
      </c>
      <c r="H7" s="4" t="s">
        <v>1054</v>
      </c>
      <c r="I7" s="4">
        <v>3045</v>
      </c>
      <c r="J7" s="4" t="s">
        <v>65</v>
      </c>
      <c r="K7" s="4">
        <f t="shared" si="0"/>
        <v>955</v>
      </c>
      <c r="L7" s="5"/>
    </row>
    <row r="8" spans="1:12" x14ac:dyDescent="0.25">
      <c r="A8" s="9" t="s">
        <v>1054</v>
      </c>
      <c r="B8" s="9" t="s">
        <v>1057</v>
      </c>
      <c r="C8" s="9" t="s">
        <v>27</v>
      </c>
      <c r="D8" s="9" t="s">
        <v>124</v>
      </c>
      <c r="E8" s="10">
        <v>2400</v>
      </c>
      <c r="G8" s="10" t="s">
        <v>1058</v>
      </c>
      <c r="H8" s="10" t="s">
        <v>1054</v>
      </c>
      <c r="I8" s="10">
        <v>1000</v>
      </c>
      <c r="J8" s="10" t="s">
        <v>66</v>
      </c>
      <c r="K8" s="10">
        <f t="shared" si="0"/>
        <v>1400</v>
      </c>
    </row>
    <row r="9" spans="1:12" x14ac:dyDescent="0.25">
      <c r="A9" s="5" t="s">
        <v>1059</v>
      </c>
      <c r="B9" s="5" t="s">
        <v>1060</v>
      </c>
      <c r="C9" s="5" t="s">
        <v>27</v>
      </c>
      <c r="D9" s="5" t="s">
        <v>1067</v>
      </c>
      <c r="E9" s="4">
        <v>10324</v>
      </c>
      <c r="F9" s="5"/>
      <c r="G9" s="4" t="s">
        <v>127</v>
      </c>
      <c r="H9" s="4" t="s">
        <v>1059</v>
      </c>
      <c r="I9" s="4">
        <v>6478.47</v>
      </c>
      <c r="J9" s="4" t="s">
        <v>66</v>
      </c>
      <c r="K9" s="4">
        <f t="shared" si="0"/>
        <v>3845.5299999999997</v>
      </c>
      <c r="L9" s="5"/>
    </row>
    <row r="10" spans="1:12" x14ac:dyDescent="0.25">
      <c r="A10" s="5" t="s">
        <v>1059</v>
      </c>
      <c r="B10" s="5" t="s">
        <v>1065</v>
      </c>
      <c r="C10" s="5" t="s">
        <v>27</v>
      </c>
      <c r="D10" s="5" t="s">
        <v>33</v>
      </c>
      <c r="E10" s="4">
        <v>2100</v>
      </c>
      <c r="F10" s="5"/>
      <c r="G10" s="4" t="s">
        <v>1066</v>
      </c>
      <c r="H10" s="4" t="s">
        <v>1059</v>
      </c>
      <c r="I10" s="4">
        <v>999</v>
      </c>
      <c r="J10" s="4" t="s">
        <v>66</v>
      </c>
      <c r="K10" s="4">
        <f t="shared" si="0"/>
        <v>1101</v>
      </c>
      <c r="L10" s="5"/>
    </row>
    <row r="11" spans="1:12" x14ac:dyDescent="0.25">
      <c r="A11" s="5" t="s">
        <v>1068</v>
      </c>
      <c r="B11" s="5" t="s">
        <v>1069</v>
      </c>
      <c r="C11" s="5" t="s">
        <v>27</v>
      </c>
      <c r="D11" s="5" t="s">
        <v>1067</v>
      </c>
      <c r="E11" s="4">
        <v>2850</v>
      </c>
      <c r="F11" s="5"/>
      <c r="G11" s="4" t="s">
        <v>1070</v>
      </c>
      <c r="H11" s="4" t="s">
        <v>1068</v>
      </c>
      <c r="I11" s="4">
        <v>1850</v>
      </c>
      <c r="J11" s="4"/>
      <c r="K11" s="4">
        <f t="shared" si="0"/>
        <v>1000</v>
      </c>
      <c r="L11" s="5"/>
    </row>
    <row r="12" spans="1:12" x14ac:dyDescent="0.25">
      <c r="A12" s="9" t="s">
        <v>1068</v>
      </c>
      <c r="B12" s="9" t="s">
        <v>1071</v>
      </c>
      <c r="C12" s="9" t="s">
        <v>27</v>
      </c>
      <c r="D12" s="9" t="s">
        <v>124</v>
      </c>
      <c r="E12" s="10">
        <v>2400</v>
      </c>
      <c r="G12" s="10" t="s">
        <v>1058</v>
      </c>
      <c r="H12" s="10" t="s">
        <v>1045</v>
      </c>
      <c r="I12" s="10">
        <v>800</v>
      </c>
      <c r="J12" s="10" t="s">
        <v>66</v>
      </c>
      <c r="K12" s="10">
        <f t="shared" ref="K12:K22" si="1">E12-I12</f>
        <v>1600</v>
      </c>
    </row>
    <row r="13" spans="1:12" x14ac:dyDescent="0.25">
      <c r="A13" s="5" t="s">
        <v>1072</v>
      </c>
      <c r="B13" s="5" t="s">
        <v>1073</v>
      </c>
      <c r="C13" s="5" t="s">
        <v>27</v>
      </c>
      <c r="D13" s="5" t="s">
        <v>33</v>
      </c>
      <c r="E13" s="4">
        <v>200</v>
      </c>
      <c r="F13" s="5"/>
      <c r="G13" s="4" t="s">
        <v>37</v>
      </c>
      <c r="H13" s="4" t="s">
        <v>37</v>
      </c>
      <c r="I13" s="4">
        <v>0</v>
      </c>
      <c r="J13" s="4" t="s">
        <v>37</v>
      </c>
      <c r="K13" s="4">
        <f t="shared" si="1"/>
        <v>200</v>
      </c>
      <c r="L13" s="5"/>
    </row>
    <row r="14" spans="1:12" x14ac:dyDescent="0.25">
      <c r="A14" s="5" t="s">
        <v>1074</v>
      </c>
      <c r="B14" s="5" t="s">
        <v>1075</v>
      </c>
      <c r="C14" s="5" t="s">
        <v>27</v>
      </c>
      <c r="D14" s="5" t="s">
        <v>33</v>
      </c>
      <c r="E14" s="4">
        <v>2200</v>
      </c>
      <c r="F14" s="5"/>
      <c r="G14" s="4" t="s">
        <v>433</v>
      </c>
      <c r="H14" s="4" t="s">
        <v>1074</v>
      </c>
      <c r="I14" s="4">
        <v>1187</v>
      </c>
      <c r="J14" s="4" t="s">
        <v>912</v>
      </c>
      <c r="K14" s="4">
        <f t="shared" si="1"/>
        <v>1013</v>
      </c>
      <c r="L14" s="5"/>
    </row>
    <row r="15" spans="1:12" x14ac:dyDescent="0.25">
      <c r="A15" s="5" t="s">
        <v>1074</v>
      </c>
      <c r="B15" s="5" t="s">
        <v>1076</v>
      </c>
      <c r="C15" s="5" t="s">
        <v>27</v>
      </c>
      <c r="D15" s="5" t="s">
        <v>1077</v>
      </c>
      <c r="E15" s="4">
        <v>600</v>
      </c>
      <c r="F15" s="5"/>
      <c r="G15" s="4" t="s">
        <v>37</v>
      </c>
      <c r="H15" s="4" t="s">
        <v>37</v>
      </c>
      <c r="I15" s="4">
        <v>0</v>
      </c>
      <c r="J15" s="4" t="s">
        <v>37</v>
      </c>
      <c r="K15" s="4">
        <f t="shared" si="1"/>
        <v>600</v>
      </c>
      <c r="L15" s="5"/>
    </row>
    <row r="16" spans="1:12" x14ac:dyDescent="0.25">
      <c r="A16" s="5" t="s">
        <v>1074</v>
      </c>
      <c r="B16" s="5" t="s">
        <v>1078</v>
      </c>
      <c r="C16" s="5" t="s">
        <v>27</v>
      </c>
      <c r="D16" s="5" t="s">
        <v>33</v>
      </c>
      <c r="E16" s="4">
        <v>2300</v>
      </c>
      <c r="F16" s="5"/>
      <c r="G16" s="4" t="s">
        <v>433</v>
      </c>
      <c r="H16" s="4" t="s">
        <v>1074</v>
      </c>
      <c r="I16" s="4">
        <v>1187</v>
      </c>
      <c r="J16" s="4" t="s">
        <v>37</v>
      </c>
      <c r="K16" s="4">
        <f t="shared" si="1"/>
        <v>1113</v>
      </c>
      <c r="L16" s="5"/>
    </row>
    <row r="17" spans="1:12" x14ac:dyDescent="0.25">
      <c r="A17" s="5" t="s">
        <v>1079</v>
      </c>
      <c r="B17" s="5" t="s">
        <v>1080</v>
      </c>
      <c r="C17" s="5" t="s">
        <v>27</v>
      </c>
      <c r="D17" s="5" t="s">
        <v>1081</v>
      </c>
      <c r="E17" s="4">
        <v>3000</v>
      </c>
      <c r="F17" s="5"/>
      <c r="G17" s="4" t="s">
        <v>1082</v>
      </c>
      <c r="H17" s="4" t="s">
        <v>1079</v>
      </c>
      <c r="I17" s="4">
        <v>1000</v>
      </c>
      <c r="J17" s="4" t="s">
        <v>66</v>
      </c>
      <c r="K17" s="4">
        <f t="shared" si="1"/>
        <v>2000</v>
      </c>
      <c r="L17" s="5"/>
    </row>
    <row r="18" spans="1:12" x14ac:dyDescent="0.25">
      <c r="A18" s="5" t="s">
        <v>1083</v>
      </c>
      <c r="B18" s="5" t="s">
        <v>1084</v>
      </c>
      <c r="C18" s="5" t="s">
        <v>27</v>
      </c>
      <c r="D18" s="5" t="s">
        <v>1085</v>
      </c>
      <c r="E18" s="4">
        <v>850</v>
      </c>
      <c r="F18" s="5"/>
      <c r="G18" s="4" t="s">
        <v>37</v>
      </c>
      <c r="H18" s="4" t="s">
        <v>37</v>
      </c>
      <c r="I18" s="4">
        <v>0</v>
      </c>
      <c r="J18" s="4" t="s">
        <v>37</v>
      </c>
      <c r="K18" s="4">
        <f t="shared" si="1"/>
        <v>850</v>
      </c>
      <c r="L18" s="5"/>
    </row>
    <row r="19" spans="1:12" x14ac:dyDescent="0.25">
      <c r="A19" s="5" t="s">
        <v>1083</v>
      </c>
      <c r="B19" s="5" t="s">
        <v>1086</v>
      </c>
      <c r="C19" s="5" t="s">
        <v>27</v>
      </c>
      <c r="D19" s="5" t="s">
        <v>33</v>
      </c>
      <c r="E19" s="4">
        <v>3450</v>
      </c>
      <c r="F19" s="5"/>
      <c r="G19" s="4" t="s">
        <v>433</v>
      </c>
      <c r="H19" s="4" t="s">
        <v>1083</v>
      </c>
      <c r="I19" s="4">
        <v>1400</v>
      </c>
      <c r="J19" s="4" t="s">
        <v>37</v>
      </c>
      <c r="K19" s="4">
        <f t="shared" si="1"/>
        <v>2050</v>
      </c>
      <c r="L19" s="5"/>
    </row>
    <row r="20" spans="1:12" x14ac:dyDescent="0.25">
      <c r="A20" s="5" t="s">
        <v>1083</v>
      </c>
      <c r="B20" s="5" t="s">
        <v>1087</v>
      </c>
      <c r="C20" s="5" t="s">
        <v>27</v>
      </c>
      <c r="D20" s="5" t="s">
        <v>33</v>
      </c>
      <c r="E20" s="4">
        <v>1300</v>
      </c>
      <c r="F20" s="5"/>
      <c r="G20" s="4" t="s">
        <v>1031</v>
      </c>
      <c r="H20" s="4" t="s">
        <v>1083</v>
      </c>
      <c r="I20" s="4">
        <v>300</v>
      </c>
      <c r="J20" s="4" t="s">
        <v>403</v>
      </c>
      <c r="K20" s="4">
        <f t="shared" si="1"/>
        <v>1000</v>
      </c>
      <c r="L20" s="5"/>
    </row>
    <row r="21" spans="1:12" x14ac:dyDescent="0.25">
      <c r="A21" s="5" t="s">
        <v>1083</v>
      </c>
      <c r="B21" s="5" t="s">
        <v>1091</v>
      </c>
      <c r="C21" s="5" t="s">
        <v>27</v>
      </c>
      <c r="D21" s="5" t="s">
        <v>33</v>
      </c>
      <c r="E21" s="4">
        <v>700</v>
      </c>
      <c r="F21" s="5"/>
      <c r="G21" s="4" t="s">
        <v>1031</v>
      </c>
      <c r="H21" s="4" t="s">
        <v>1083</v>
      </c>
      <c r="I21" s="4">
        <v>300</v>
      </c>
      <c r="J21" s="4" t="s">
        <v>403</v>
      </c>
      <c r="K21" s="4">
        <f t="shared" ref="K21" si="2">E21-I21</f>
        <v>400</v>
      </c>
      <c r="L21" s="5"/>
    </row>
    <row r="22" spans="1:12" x14ac:dyDescent="0.25">
      <c r="A22" s="5" t="s">
        <v>1088</v>
      </c>
      <c r="B22" s="5" t="s">
        <v>1089</v>
      </c>
      <c r="C22" s="5" t="s">
        <v>27</v>
      </c>
      <c r="D22" s="5" t="s">
        <v>563</v>
      </c>
      <c r="E22" s="4">
        <v>2100</v>
      </c>
      <c r="F22" s="5"/>
      <c r="G22" s="4" t="s">
        <v>131</v>
      </c>
      <c r="H22" s="4" t="s">
        <v>1088</v>
      </c>
      <c r="I22" s="4">
        <v>500</v>
      </c>
      <c r="J22" s="4" t="s">
        <v>37</v>
      </c>
      <c r="K22" s="4">
        <f t="shared" si="1"/>
        <v>1600</v>
      </c>
      <c r="L22" s="5"/>
    </row>
    <row r="23" spans="1:12" x14ac:dyDescent="0.25">
      <c r="A23" s="5" t="s">
        <v>1090</v>
      </c>
      <c r="B23" s="5" t="s">
        <v>1092</v>
      </c>
      <c r="C23" s="5" t="s">
        <v>27</v>
      </c>
      <c r="D23" s="5" t="s">
        <v>33</v>
      </c>
      <c r="E23" s="4">
        <v>600</v>
      </c>
      <c r="F23" s="5"/>
      <c r="G23" s="4" t="s">
        <v>37</v>
      </c>
      <c r="H23" s="4"/>
      <c r="I23" s="4">
        <v>0</v>
      </c>
      <c r="J23" s="4" t="s">
        <v>37</v>
      </c>
      <c r="K23" s="4">
        <f t="shared" ref="K23:K24" si="3">E23-I23</f>
        <v>600</v>
      </c>
      <c r="L23" s="5"/>
    </row>
    <row r="24" spans="1:12" x14ac:dyDescent="0.25">
      <c r="A24" s="5" t="s">
        <v>1093</v>
      </c>
      <c r="B24" s="5" t="s">
        <v>698</v>
      </c>
      <c r="C24" s="5" t="s">
        <v>27</v>
      </c>
      <c r="D24" s="5" t="s">
        <v>33</v>
      </c>
      <c r="E24" s="4">
        <v>1100</v>
      </c>
      <c r="F24" s="5"/>
      <c r="G24" s="4" t="s">
        <v>37</v>
      </c>
      <c r="H24" s="4" t="s">
        <v>1094</v>
      </c>
      <c r="I24" s="4"/>
      <c r="J24" s="4" t="s">
        <v>37</v>
      </c>
      <c r="K24" s="4">
        <f t="shared" si="3"/>
        <v>1100</v>
      </c>
      <c r="L24" s="5"/>
    </row>
    <row r="25" spans="1:12" x14ac:dyDescent="0.25">
      <c r="A25" s="5" t="s">
        <v>1095</v>
      </c>
      <c r="B25" s="5" t="s">
        <v>1106</v>
      </c>
      <c r="C25" s="5" t="s">
        <v>27</v>
      </c>
      <c r="D25" s="5" t="s">
        <v>33</v>
      </c>
      <c r="E25" s="4">
        <v>850</v>
      </c>
      <c r="F25" s="5"/>
      <c r="G25" s="4" t="s">
        <v>37</v>
      </c>
      <c r="H25" s="4" t="s">
        <v>1094</v>
      </c>
      <c r="I25" s="4"/>
      <c r="J25" s="4" t="s">
        <v>37</v>
      </c>
      <c r="K25" s="4">
        <f t="shared" ref="K25" si="4">E25-I25</f>
        <v>850</v>
      </c>
      <c r="L25" s="5"/>
    </row>
    <row r="26" spans="1:12" x14ac:dyDescent="0.25">
      <c r="A26" s="5" t="s">
        <v>1095</v>
      </c>
      <c r="B26" s="5" t="s">
        <v>1096</v>
      </c>
      <c r="C26" s="5" t="s">
        <v>27</v>
      </c>
      <c r="D26" s="5" t="s">
        <v>33</v>
      </c>
      <c r="E26" s="4">
        <v>1900</v>
      </c>
      <c r="F26" s="5"/>
      <c r="G26" s="4" t="s">
        <v>37</v>
      </c>
      <c r="H26" s="4" t="s">
        <v>1094</v>
      </c>
      <c r="I26" s="4"/>
      <c r="J26" s="4" t="s">
        <v>37</v>
      </c>
      <c r="K26" s="4">
        <f t="shared" ref="K26" si="5">E26-I26</f>
        <v>1900</v>
      </c>
      <c r="L26" s="5"/>
    </row>
    <row r="27" spans="1:12" x14ac:dyDescent="0.25">
      <c r="A27" s="5" t="s">
        <v>1095</v>
      </c>
      <c r="B27" s="5" t="s">
        <v>1097</v>
      </c>
      <c r="C27" s="5" t="s">
        <v>27</v>
      </c>
      <c r="D27" s="5" t="s">
        <v>1085</v>
      </c>
      <c r="E27" s="4">
        <v>800</v>
      </c>
      <c r="F27" s="5"/>
      <c r="G27" s="4" t="s">
        <v>37</v>
      </c>
      <c r="H27" s="4" t="s">
        <v>1094</v>
      </c>
      <c r="I27" s="4"/>
      <c r="J27" s="4" t="s">
        <v>37</v>
      </c>
      <c r="K27" s="4">
        <f t="shared" ref="K27:K28" si="6">E27-I27</f>
        <v>800</v>
      </c>
      <c r="L27" s="5"/>
    </row>
    <row r="28" spans="1:12" x14ac:dyDescent="0.25">
      <c r="A28" s="9" t="s">
        <v>1064</v>
      </c>
      <c r="B28" s="9" t="s">
        <v>1098</v>
      </c>
      <c r="C28" s="9" t="s">
        <v>27</v>
      </c>
      <c r="D28" s="9" t="s">
        <v>33</v>
      </c>
      <c r="E28" s="10">
        <v>4000</v>
      </c>
      <c r="G28" s="10" t="s">
        <v>1099</v>
      </c>
      <c r="H28" s="10" t="s">
        <v>1095</v>
      </c>
      <c r="I28" s="10">
        <f>700+600</f>
        <v>1300</v>
      </c>
      <c r="J28" s="10" t="s">
        <v>65</v>
      </c>
      <c r="K28" s="10">
        <f t="shared" si="6"/>
        <v>2700</v>
      </c>
    </row>
    <row r="29" spans="1:12" x14ac:dyDescent="0.25">
      <c r="F29" s="16"/>
    </row>
    <row r="30" spans="1:12" s="11" customFormat="1" x14ac:dyDescent="0.25">
      <c r="A30" s="11" t="s">
        <v>1047</v>
      </c>
      <c r="E30" s="12"/>
      <c r="F30" s="17"/>
      <c r="G30" s="12"/>
      <c r="I30" s="12"/>
      <c r="K30" s="12"/>
    </row>
    <row r="31" spans="1:12" x14ac:dyDescent="0.25">
      <c r="F31" s="16"/>
    </row>
    <row r="32" spans="1:12" x14ac:dyDescent="0.25">
      <c r="A32" s="21" t="s">
        <v>1061</v>
      </c>
      <c r="B32" s="21" t="s">
        <v>1062</v>
      </c>
      <c r="C32" s="22">
        <v>3500</v>
      </c>
      <c r="H32" s="10"/>
      <c r="J32" s="10"/>
    </row>
    <row r="33" spans="1:21" s="10" customFormat="1" x14ac:dyDescent="0.25">
      <c r="A33" s="21" t="s">
        <v>1061</v>
      </c>
      <c r="B33" s="21" t="s">
        <v>1063</v>
      </c>
      <c r="C33" s="22">
        <v>4000</v>
      </c>
      <c r="D33" s="9"/>
      <c r="F33" s="16"/>
      <c r="H33" s="9"/>
      <c r="J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s="10" customFormat="1" x14ac:dyDescent="0.25">
      <c r="A34" s="21" t="s">
        <v>1064</v>
      </c>
      <c r="B34" s="21" t="s">
        <v>1062</v>
      </c>
      <c r="C34" s="22">
        <v>3500</v>
      </c>
      <c r="D34" s="9"/>
      <c r="F34" s="16"/>
      <c r="H34" s="9"/>
      <c r="J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s="10" customFormat="1" x14ac:dyDescent="0.25">
      <c r="A35" s="21" t="s">
        <v>1064</v>
      </c>
      <c r="B35" s="21" t="s">
        <v>1063</v>
      </c>
      <c r="C35" s="22">
        <v>4000</v>
      </c>
      <c r="D35" s="9">
        <v>2500</v>
      </c>
      <c r="E35" s="10">
        <f>C35-D35</f>
        <v>1500</v>
      </c>
      <c r="F35" s="16"/>
      <c r="H35" s="16"/>
      <c r="J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s="10" customFormat="1" x14ac:dyDescent="0.25">
      <c r="A36" s="19" t="s">
        <v>1048</v>
      </c>
      <c r="B36" s="19" t="s">
        <v>206</v>
      </c>
      <c r="C36" s="20">
        <v>6300</v>
      </c>
      <c r="D36" s="9"/>
      <c r="F36" s="9"/>
      <c r="H36" s="9"/>
      <c r="J36" s="9"/>
    </row>
    <row r="37" spans="1:21" s="10" customFormat="1" x14ac:dyDescent="0.25">
      <c r="A37" s="19" t="s">
        <v>1064</v>
      </c>
      <c r="B37" s="19" t="s">
        <v>648</v>
      </c>
      <c r="C37" s="20">
        <v>1000</v>
      </c>
      <c r="D37" s="9"/>
      <c r="F37" s="9"/>
      <c r="H37" s="9"/>
      <c r="J37" s="9"/>
    </row>
    <row r="38" spans="1:21" s="10" customFormat="1" x14ac:dyDescent="0.25">
      <c r="A38" s="19" t="s">
        <v>1064</v>
      </c>
      <c r="B38" s="19" t="s">
        <v>1026</v>
      </c>
      <c r="C38" s="20">
        <v>3000</v>
      </c>
      <c r="D38" s="9"/>
      <c r="F38" s="9"/>
      <c r="H38" s="9"/>
      <c r="J38" s="9"/>
    </row>
    <row r="39" spans="1:21" s="10" customFormat="1" x14ac:dyDescent="0.25">
      <c r="A39" s="21" t="s">
        <v>1064</v>
      </c>
      <c r="B39" s="5" t="s">
        <v>72</v>
      </c>
      <c r="C39" s="4">
        <v>550</v>
      </c>
      <c r="D39" s="9"/>
      <c r="F39" s="9"/>
      <c r="H39" s="9"/>
      <c r="J39" s="9"/>
    </row>
    <row r="40" spans="1:21" s="10" customFormat="1" x14ac:dyDescent="0.25">
      <c r="A40" s="19"/>
      <c r="B40" s="19"/>
      <c r="C40" s="20"/>
      <c r="D40" s="9"/>
      <c r="F40" s="9"/>
      <c r="H40" s="9"/>
      <c r="J40" s="9"/>
    </row>
    <row r="41" spans="1:21" s="10" customFormat="1" x14ac:dyDescent="0.25">
      <c r="A41" s="9"/>
      <c r="B41" s="19"/>
      <c r="C41" s="20"/>
      <c r="D41" s="9"/>
      <c r="F41" s="9"/>
      <c r="H41" s="9"/>
      <c r="J41" s="9"/>
    </row>
    <row r="42" spans="1:21" s="10" customFormat="1" x14ac:dyDescent="0.25">
      <c r="A42" s="9"/>
      <c r="B42" s="9"/>
      <c r="D42" s="9"/>
      <c r="F42" s="9"/>
      <c r="H42" s="9"/>
      <c r="J42" s="9"/>
    </row>
    <row r="43" spans="1:21" s="10" customFormat="1" x14ac:dyDescent="0.25">
      <c r="A43" s="9"/>
      <c r="B43" s="9"/>
      <c r="D43" s="9"/>
      <c r="F43" s="9"/>
    </row>
    <row r="44" spans="1:21" s="10" customFormat="1" x14ac:dyDescent="0.25">
      <c r="A44" s="9"/>
      <c r="B44" s="9"/>
      <c r="D44" s="9"/>
      <c r="F44" s="9"/>
    </row>
    <row r="45" spans="1:21" s="10" customFormat="1" x14ac:dyDescent="0.25">
      <c r="A45" s="9"/>
      <c r="B45" s="9"/>
      <c r="D45" s="9"/>
      <c r="F45" s="9"/>
    </row>
    <row r="46" spans="1:21" s="10" customFormat="1" x14ac:dyDescent="0.25">
      <c r="A46" s="9"/>
      <c r="B46" s="9"/>
      <c r="D46" s="9"/>
      <c r="F46" s="9"/>
    </row>
    <row r="47" spans="1:21" s="10" customFormat="1" x14ac:dyDescent="0.25">
      <c r="A47" s="9"/>
      <c r="B47" s="9"/>
      <c r="C47" s="9"/>
      <c r="D47" s="9"/>
      <c r="F47" s="9"/>
    </row>
    <row r="48" spans="1:21" s="10" customFormat="1" x14ac:dyDescent="0.25"/>
    <row r="49" spans="8:10" s="10" customFormat="1" x14ac:dyDescent="0.25"/>
    <row r="50" spans="8:10" s="10" customFormat="1" x14ac:dyDescent="0.25"/>
    <row r="51" spans="8:10" s="10" customFormat="1" x14ac:dyDescent="0.25"/>
    <row r="52" spans="8:10" s="10" customFormat="1" x14ac:dyDescent="0.25"/>
    <row r="53" spans="8:10" s="10" customFormat="1" x14ac:dyDescent="0.25"/>
    <row r="54" spans="8:10" s="10" customFormat="1" x14ac:dyDescent="0.25"/>
    <row r="55" spans="8:10" s="10" customFormat="1" x14ac:dyDescent="0.25">
      <c r="H55" s="9"/>
      <c r="J55" s="9"/>
    </row>
    <row r="56" spans="8:10" s="10" customFormat="1" x14ac:dyDescent="0.25">
      <c r="H56" s="9"/>
      <c r="J56" s="9"/>
    </row>
    <row r="57" spans="8:10" s="10" customFormat="1" x14ac:dyDescent="0.25">
      <c r="H57" s="9"/>
      <c r="J57" s="9"/>
    </row>
    <row r="58" spans="8:10" s="10" customFormat="1" x14ac:dyDescent="0.25">
      <c r="H58" s="9"/>
      <c r="J58" s="9"/>
    </row>
    <row r="59" spans="8:10" s="10" customFormat="1" x14ac:dyDescent="0.25">
      <c r="H59" s="9"/>
      <c r="J59" s="9"/>
    </row>
    <row r="60" spans="8:10" s="10" customFormat="1" x14ac:dyDescent="0.25">
      <c r="H60" s="9"/>
      <c r="J60" s="9"/>
    </row>
    <row r="61" spans="8:10" s="10" customFormat="1" x14ac:dyDescent="0.25">
      <c r="H61" s="9"/>
      <c r="J61" s="9"/>
    </row>
    <row r="62" spans="8:10" s="10" customFormat="1" x14ac:dyDescent="0.25">
      <c r="H62" s="9"/>
      <c r="J62" s="9"/>
    </row>
    <row r="63" spans="8:10" s="10" customFormat="1" x14ac:dyDescent="0.25">
      <c r="H63" s="9"/>
      <c r="J63" s="9"/>
    </row>
    <row r="64" spans="8:10" s="10" customFormat="1" x14ac:dyDescent="0.25">
      <c r="H64" s="9"/>
      <c r="J64" s="9"/>
    </row>
    <row r="65" spans="1:11" s="10" customFormat="1" x14ac:dyDescent="0.25">
      <c r="H65" s="9"/>
      <c r="J65" s="9"/>
    </row>
    <row r="66" spans="1:11" s="10" customFormat="1" x14ac:dyDescent="0.25">
      <c r="H66" s="9"/>
      <c r="J66" s="9"/>
    </row>
    <row r="67" spans="1:11" s="10" customFormat="1" x14ac:dyDescent="0.25">
      <c r="H67" s="9"/>
      <c r="J67" s="9"/>
    </row>
    <row r="68" spans="1:11" s="10" customFormat="1" x14ac:dyDescent="0.25">
      <c r="H68" s="9"/>
      <c r="J68" s="9"/>
    </row>
    <row r="69" spans="1:11" s="11" customFormat="1" x14ac:dyDescent="0.25">
      <c r="C69" s="12"/>
      <c r="E69" s="12"/>
      <c r="G69" s="12"/>
      <c r="I69" s="12"/>
      <c r="K69" s="12"/>
    </row>
    <row r="70" spans="1:11" x14ac:dyDescent="0.25">
      <c r="C70" s="10"/>
    </row>
    <row r="71" spans="1:11" x14ac:dyDescent="0.25">
      <c r="A71" s="13"/>
      <c r="C71" s="10"/>
    </row>
    <row r="72" spans="1:11" x14ac:dyDescent="0.25">
      <c r="C72" s="10"/>
    </row>
    <row r="73" spans="1:11" x14ac:dyDescent="0.25">
      <c r="C73" s="10"/>
    </row>
    <row r="74" spans="1:11" x14ac:dyDescent="0.25">
      <c r="C74" s="10"/>
    </row>
    <row r="75" spans="1:11" x14ac:dyDescent="0.25">
      <c r="C75" s="10"/>
    </row>
    <row r="76" spans="1:11" x14ac:dyDescent="0.25">
      <c r="C76" s="10"/>
    </row>
    <row r="77" spans="1:11" x14ac:dyDescent="0.25">
      <c r="C77" s="10"/>
    </row>
    <row r="78" spans="1:11" x14ac:dyDescent="0.25">
      <c r="C78" s="10"/>
    </row>
    <row r="79" spans="1:11" x14ac:dyDescent="0.25">
      <c r="C79" s="10"/>
    </row>
    <row r="80" spans="1:11" x14ac:dyDescent="0.25"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84" spans="3:3" x14ac:dyDescent="0.25">
      <c r="C84" s="10"/>
    </row>
    <row r="85" spans="3:3" x14ac:dyDescent="0.25">
      <c r="C85" s="10"/>
    </row>
    <row r="86" spans="3:3" x14ac:dyDescent="0.25">
      <c r="C86" s="10"/>
    </row>
    <row r="87" spans="3:3" x14ac:dyDescent="0.25">
      <c r="C87" s="10"/>
    </row>
    <row r="1048553" spans="1:21" s="10" customFormat="1" x14ac:dyDescent="0.25">
      <c r="A1048553" s="9"/>
      <c r="B1048553" s="9"/>
      <c r="C1048553" s="9"/>
      <c r="D1048553" s="9"/>
      <c r="F1048553" s="9"/>
      <c r="H1048553" s="9"/>
      <c r="L1048553" s="9"/>
      <c r="M1048553" s="9"/>
      <c r="N1048553" s="9"/>
      <c r="O1048553" s="9"/>
      <c r="P1048553" s="9"/>
      <c r="Q1048553" s="9"/>
      <c r="R1048553" s="9"/>
      <c r="S1048553" s="9"/>
      <c r="T1048553" s="9"/>
      <c r="U1048553" s="9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1048553"/>
  <sheetViews>
    <sheetView workbookViewId="0">
      <pane ySplit="3" topLeftCell="A13" activePane="bottomLeft" state="frozen"/>
      <selection activeCell="K26" activeCellId="1" sqref="K29:K30 K26"/>
      <selection pane="bottomLeft" activeCell="A36" sqref="A36:C36"/>
    </sheetView>
  </sheetViews>
  <sheetFormatPr baseColWidth="10" defaultColWidth="10.7109375" defaultRowHeight="15" x14ac:dyDescent="0.25"/>
  <cols>
    <col min="1" max="1" width="22.7109375" style="9" customWidth="1"/>
    <col min="2" max="2" width="62.28515625" style="9" customWidth="1"/>
    <col min="3" max="3" width="22.42578125" style="9" customWidth="1"/>
    <col min="4" max="4" width="37.5703125" style="9" customWidth="1"/>
    <col min="5" max="5" width="10.7109375" style="10"/>
    <col min="6" max="6" width="6.140625" style="9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2" s="11" customFormat="1" x14ac:dyDescent="0.25">
      <c r="A1" s="11" t="s">
        <v>0</v>
      </c>
      <c r="E1" s="12"/>
      <c r="G1" s="12"/>
      <c r="I1" s="12"/>
    </row>
    <row r="3" spans="1:12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12" t="s">
        <v>13</v>
      </c>
    </row>
    <row r="4" spans="1:12" x14ac:dyDescent="0.25">
      <c r="A4" s="5" t="s">
        <v>1100</v>
      </c>
      <c r="B4" s="5" t="s">
        <v>1101</v>
      </c>
      <c r="C4" s="5" t="s">
        <v>27</v>
      </c>
      <c r="D4" s="5" t="s">
        <v>33</v>
      </c>
      <c r="E4" s="4">
        <v>350</v>
      </c>
      <c r="F4" s="5"/>
      <c r="G4" s="4" t="s">
        <v>37</v>
      </c>
      <c r="H4" s="4" t="s">
        <v>1100</v>
      </c>
      <c r="I4" s="4">
        <v>0</v>
      </c>
      <c r="J4" s="4" t="s">
        <v>37</v>
      </c>
      <c r="K4" s="4">
        <f t="shared" ref="K4" si="0">E4-I4</f>
        <v>350</v>
      </c>
      <c r="L4" s="5"/>
    </row>
    <row r="5" spans="1:12" x14ac:dyDescent="0.25">
      <c r="A5" s="5" t="s">
        <v>1100</v>
      </c>
      <c r="B5" s="5" t="s">
        <v>1102</v>
      </c>
      <c r="C5" s="5" t="s">
        <v>27</v>
      </c>
      <c r="D5" s="5" t="s">
        <v>33</v>
      </c>
      <c r="E5" s="4">
        <v>600</v>
      </c>
      <c r="F5" s="5"/>
      <c r="G5" s="4" t="s">
        <v>37</v>
      </c>
      <c r="H5" s="4" t="s">
        <v>1100</v>
      </c>
      <c r="I5" s="4">
        <v>0</v>
      </c>
      <c r="J5" s="4" t="s">
        <v>37</v>
      </c>
      <c r="K5" s="4">
        <f t="shared" ref="K5" si="1">E5-I5</f>
        <v>600</v>
      </c>
      <c r="L5" s="5"/>
    </row>
    <row r="6" spans="1:12" x14ac:dyDescent="0.25">
      <c r="A6" s="5" t="s">
        <v>1100</v>
      </c>
      <c r="B6" s="5" t="s">
        <v>1104</v>
      </c>
      <c r="C6" s="5" t="s">
        <v>27</v>
      </c>
      <c r="D6" s="5" t="s">
        <v>33</v>
      </c>
      <c r="E6" s="4">
        <f>950+2950</f>
        <v>3900</v>
      </c>
      <c r="F6" s="5"/>
      <c r="G6" s="4" t="s">
        <v>37</v>
      </c>
      <c r="H6" s="4" t="s">
        <v>1100</v>
      </c>
      <c r="I6" s="4">
        <v>1629</v>
      </c>
      <c r="J6" s="4" t="s">
        <v>37</v>
      </c>
      <c r="K6" s="4">
        <f t="shared" ref="K6:K13" si="2">E6-I6</f>
        <v>2271</v>
      </c>
      <c r="L6" s="5"/>
    </row>
    <row r="7" spans="1:12" x14ac:dyDescent="0.25">
      <c r="A7" s="5" t="s">
        <v>1103</v>
      </c>
      <c r="B7" s="5" t="s">
        <v>1105</v>
      </c>
      <c r="C7" s="5" t="s">
        <v>27</v>
      </c>
      <c r="D7" s="5" t="s">
        <v>33</v>
      </c>
      <c r="E7" s="4">
        <v>500</v>
      </c>
      <c r="F7" s="5"/>
      <c r="G7" s="4" t="s">
        <v>37</v>
      </c>
      <c r="H7" s="4"/>
      <c r="I7" s="4">
        <v>0</v>
      </c>
      <c r="J7" s="4" t="s">
        <v>37</v>
      </c>
      <c r="K7" s="4">
        <f t="shared" si="2"/>
        <v>500</v>
      </c>
      <c r="L7" s="5"/>
    </row>
    <row r="8" spans="1:12" x14ac:dyDescent="0.25">
      <c r="A8" s="5" t="s">
        <v>1107</v>
      </c>
      <c r="B8" s="5" t="s">
        <v>1108</v>
      </c>
      <c r="C8" s="5" t="s">
        <v>27</v>
      </c>
      <c r="D8" s="5" t="s">
        <v>33</v>
      </c>
      <c r="E8" s="4">
        <v>2300</v>
      </c>
      <c r="F8" s="5"/>
      <c r="G8" s="4" t="s">
        <v>37</v>
      </c>
      <c r="H8" s="4" t="s">
        <v>1107</v>
      </c>
      <c r="I8" s="4">
        <v>600</v>
      </c>
      <c r="J8" s="4" t="s">
        <v>66</v>
      </c>
      <c r="K8" s="4">
        <f t="shared" si="2"/>
        <v>1700</v>
      </c>
      <c r="L8" s="5"/>
    </row>
    <row r="9" spans="1:12" x14ac:dyDescent="0.25">
      <c r="A9" s="5" t="s">
        <v>1107</v>
      </c>
      <c r="B9" s="5" t="s">
        <v>1109</v>
      </c>
      <c r="C9" s="5" t="s">
        <v>27</v>
      </c>
      <c r="D9" s="5" t="s">
        <v>33</v>
      </c>
      <c r="E9" s="4">
        <v>2100</v>
      </c>
      <c r="F9" s="5"/>
      <c r="G9" s="4" t="s">
        <v>1111</v>
      </c>
      <c r="H9" s="4" t="s">
        <v>1107</v>
      </c>
      <c r="I9" s="4">
        <v>900</v>
      </c>
      <c r="J9" s="4" t="s">
        <v>66</v>
      </c>
      <c r="K9" s="4">
        <f t="shared" si="2"/>
        <v>1200</v>
      </c>
      <c r="L9" s="5"/>
    </row>
    <row r="10" spans="1:12" x14ac:dyDescent="0.25">
      <c r="A10" s="5" t="s">
        <v>1107</v>
      </c>
      <c r="B10" s="5" t="s">
        <v>1110</v>
      </c>
      <c r="C10" s="5" t="s">
        <v>27</v>
      </c>
      <c r="D10" s="5" t="s">
        <v>33</v>
      </c>
      <c r="E10" s="4">
        <v>1900</v>
      </c>
      <c r="F10" s="5"/>
      <c r="G10" s="4" t="s">
        <v>75</v>
      </c>
      <c r="H10" s="4" t="s">
        <v>1107</v>
      </c>
      <c r="I10" s="4">
        <v>500</v>
      </c>
      <c r="J10" s="4" t="s">
        <v>66</v>
      </c>
      <c r="K10" s="4">
        <f t="shared" si="2"/>
        <v>1400</v>
      </c>
      <c r="L10" s="5"/>
    </row>
    <row r="11" spans="1:12" x14ac:dyDescent="0.25">
      <c r="A11" s="5" t="s">
        <v>1107</v>
      </c>
      <c r="B11" s="5" t="s">
        <v>1112</v>
      </c>
      <c r="C11" s="5" t="s">
        <v>27</v>
      </c>
      <c r="D11" s="5" t="s">
        <v>33</v>
      </c>
      <c r="E11" s="4">
        <v>2900</v>
      </c>
      <c r="F11" s="5"/>
      <c r="G11" s="4" t="s">
        <v>1113</v>
      </c>
      <c r="H11" s="4" t="s">
        <v>1114</v>
      </c>
      <c r="I11" s="4">
        <v>500</v>
      </c>
      <c r="J11" s="4" t="s">
        <v>66</v>
      </c>
      <c r="K11" s="4">
        <f t="shared" si="2"/>
        <v>2400</v>
      </c>
      <c r="L11" s="5"/>
    </row>
    <row r="12" spans="1:12" x14ac:dyDescent="0.25">
      <c r="A12" s="5" t="s">
        <v>1115</v>
      </c>
      <c r="B12" s="5" t="s">
        <v>1116</v>
      </c>
      <c r="C12" s="5" t="s">
        <v>27</v>
      </c>
      <c r="D12" s="5" t="s">
        <v>33</v>
      </c>
      <c r="E12" s="4">
        <v>350</v>
      </c>
      <c r="F12" s="5"/>
      <c r="G12" s="4" t="s">
        <v>1117</v>
      </c>
      <c r="H12" s="4" t="s">
        <v>1114</v>
      </c>
      <c r="I12" s="4">
        <v>300</v>
      </c>
      <c r="J12" s="4" t="s">
        <v>66</v>
      </c>
      <c r="K12" s="4">
        <f t="shared" si="2"/>
        <v>50</v>
      </c>
      <c r="L12" s="5"/>
    </row>
    <row r="13" spans="1:12" x14ac:dyDescent="0.25">
      <c r="A13" s="5" t="s">
        <v>1118</v>
      </c>
      <c r="B13" s="5" t="s">
        <v>1119</v>
      </c>
      <c r="C13" s="5" t="s">
        <v>27</v>
      </c>
      <c r="D13" s="5" t="s">
        <v>33</v>
      </c>
      <c r="E13" s="4">
        <v>750</v>
      </c>
      <c r="F13" s="5"/>
      <c r="G13" s="4" t="s">
        <v>37</v>
      </c>
      <c r="H13" s="5" t="s">
        <v>1118</v>
      </c>
      <c r="I13" s="4">
        <v>0</v>
      </c>
      <c r="J13" s="4" t="s">
        <v>37</v>
      </c>
      <c r="K13" s="4">
        <f t="shared" si="2"/>
        <v>750</v>
      </c>
      <c r="L13" s="5"/>
    </row>
    <row r="14" spans="1:12" x14ac:dyDescent="0.25">
      <c r="H14" s="10"/>
      <c r="J14" s="10"/>
    </row>
    <row r="15" spans="1:12" x14ac:dyDescent="0.25">
      <c r="H15" s="10"/>
      <c r="J15" s="10"/>
    </row>
    <row r="16" spans="1:12" x14ac:dyDescent="0.25">
      <c r="H16" s="10"/>
      <c r="J16" s="10"/>
    </row>
    <row r="17" spans="1:11" x14ac:dyDescent="0.25">
      <c r="H17" s="10"/>
      <c r="J17" s="10"/>
    </row>
    <row r="18" spans="1:11" x14ac:dyDescent="0.25">
      <c r="H18" s="10"/>
      <c r="J18" s="10"/>
    </row>
    <row r="19" spans="1:11" x14ac:dyDescent="0.25">
      <c r="H19" s="10"/>
      <c r="J19" s="10"/>
    </row>
    <row r="20" spans="1:11" x14ac:dyDescent="0.25">
      <c r="H20" s="10"/>
      <c r="J20" s="10"/>
    </row>
    <row r="21" spans="1:11" x14ac:dyDescent="0.25">
      <c r="H21" s="10"/>
      <c r="J21" s="10"/>
    </row>
    <row r="22" spans="1:11" x14ac:dyDescent="0.25">
      <c r="H22" s="10"/>
      <c r="J22" s="10"/>
    </row>
    <row r="23" spans="1:11" x14ac:dyDescent="0.25">
      <c r="H23" s="10"/>
      <c r="J23" s="10"/>
    </row>
    <row r="24" spans="1:11" x14ac:dyDescent="0.25">
      <c r="H24" s="10"/>
      <c r="J24" s="10"/>
    </row>
    <row r="25" spans="1:11" x14ac:dyDescent="0.25">
      <c r="H25" s="10"/>
      <c r="J25" s="10"/>
    </row>
    <row r="26" spans="1:11" x14ac:dyDescent="0.25">
      <c r="H26" s="10"/>
      <c r="J26" s="10"/>
    </row>
    <row r="27" spans="1:11" x14ac:dyDescent="0.25">
      <c r="H27" s="10"/>
      <c r="J27" s="10"/>
    </row>
    <row r="28" spans="1:11" x14ac:dyDescent="0.25">
      <c r="H28" s="10"/>
      <c r="J28" s="10"/>
    </row>
    <row r="29" spans="1:11" x14ac:dyDescent="0.25">
      <c r="F29" s="16"/>
    </row>
    <row r="30" spans="1:11" s="11" customFormat="1" x14ac:dyDescent="0.25">
      <c r="E30" s="12"/>
      <c r="F30" s="17"/>
      <c r="G30" s="12"/>
      <c r="I30" s="12"/>
      <c r="K30" s="12"/>
    </row>
    <row r="31" spans="1:11" x14ac:dyDescent="0.25">
      <c r="F31" s="16"/>
    </row>
    <row r="32" spans="1:11" x14ac:dyDescent="0.25">
      <c r="A32" s="21" t="s">
        <v>1061</v>
      </c>
      <c r="B32" s="21" t="s">
        <v>1062</v>
      </c>
      <c r="C32" s="22">
        <v>3500</v>
      </c>
      <c r="H32" s="10"/>
      <c r="J32" s="10"/>
    </row>
    <row r="33" spans="1:21" s="10" customFormat="1" x14ac:dyDescent="0.25">
      <c r="A33" s="21" t="s">
        <v>1061</v>
      </c>
      <c r="B33" s="21" t="s">
        <v>1063</v>
      </c>
      <c r="C33" s="22">
        <v>4000</v>
      </c>
      <c r="D33" s="9"/>
      <c r="F33" s="16"/>
      <c r="H33" s="9"/>
      <c r="J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s="10" customFormat="1" x14ac:dyDescent="0.25">
      <c r="A34" s="21" t="s">
        <v>1064</v>
      </c>
      <c r="B34" s="21" t="s">
        <v>1062</v>
      </c>
      <c r="C34" s="22">
        <v>3500</v>
      </c>
      <c r="D34" s="9"/>
      <c r="F34" s="16"/>
      <c r="H34" s="9"/>
      <c r="J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s="10" customFormat="1" x14ac:dyDescent="0.25">
      <c r="A35" s="21" t="s">
        <v>1064</v>
      </c>
      <c r="B35" s="21" t="s">
        <v>1063</v>
      </c>
      <c r="C35" s="22">
        <v>4000</v>
      </c>
      <c r="D35" s="9">
        <v>2500</v>
      </c>
      <c r="E35" s="10">
        <f>C35-D35</f>
        <v>1500</v>
      </c>
      <c r="F35" s="16"/>
      <c r="H35" s="16"/>
      <c r="J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s="10" customFormat="1" x14ac:dyDescent="0.25">
      <c r="A36" s="21" t="s">
        <v>1048</v>
      </c>
      <c r="B36" s="21" t="s">
        <v>206</v>
      </c>
      <c r="C36" s="22">
        <v>6300</v>
      </c>
      <c r="D36" s="9"/>
      <c r="F36" s="9"/>
      <c r="H36" s="9"/>
      <c r="J36" s="9"/>
    </row>
    <row r="37" spans="1:21" s="10" customFormat="1" x14ac:dyDescent="0.25">
      <c r="A37" s="19" t="s">
        <v>1064</v>
      </c>
      <c r="B37" s="19" t="s">
        <v>648</v>
      </c>
      <c r="C37" s="20">
        <v>1000</v>
      </c>
      <c r="D37" s="9"/>
      <c r="F37" s="9"/>
      <c r="H37" s="9"/>
      <c r="J37" s="9"/>
    </row>
    <row r="38" spans="1:21" s="10" customFormat="1" x14ac:dyDescent="0.25">
      <c r="A38" s="19" t="s">
        <v>1064</v>
      </c>
      <c r="B38" s="19" t="s">
        <v>1026</v>
      </c>
      <c r="C38" s="20">
        <v>3000</v>
      </c>
      <c r="D38" s="9"/>
      <c r="F38" s="9"/>
      <c r="H38" s="9"/>
      <c r="J38" s="9"/>
    </row>
    <row r="39" spans="1:21" s="10" customFormat="1" x14ac:dyDescent="0.25">
      <c r="A39" s="19" t="s">
        <v>1064</v>
      </c>
      <c r="B39" s="9" t="s">
        <v>72</v>
      </c>
      <c r="C39" s="10">
        <v>550</v>
      </c>
      <c r="D39" s="9"/>
      <c r="F39" s="9"/>
      <c r="H39" s="9"/>
      <c r="J39" s="9"/>
    </row>
    <row r="40" spans="1:21" s="10" customFormat="1" x14ac:dyDescent="0.25">
      <c r="A40" s="19"/>
      <c r="B40" s="19"/>
      <c r="C40" s="20"/>
      <c r="D40" s="9"/>
      <c r="F40" s="9"/>
      <c r="H40" s="9"/>
      <c r="J40" s="9"/>
    </row>
    <row r="41" spans="1:21" s="10" customFormat="1" x14ac:dyDescent="0.25">
      <c r="A41" s="9"/>
      <c r="B41" s="19"/>
      <c r="C41" s="20"/>
      <c r="D41" s="9"/>
      <c r="F41" s="9"/>
      <c r="H41" s="9"/>
      <c r="J41" s="9"/>
    </row>
    <row r="42" spans="1:21" s="10" customFormat="1" x14ac:dyDescent="0.25">
      <c r="A42" s="9"/>
      <c r="B42" s="9"/>
      <c r="D42" s="9"/>
      <c r="F42" s="9"/>
      <c r="H42" s="9"/>
      <c r="J42" s="9"/>
    </row>
    <row r="43" spans="1:21" s="10" customFormat="1" x14ac:dyDescent="0.25">
      <c r="A43" s="9"/>
      <c r="B43" s="9"/>
      <c r="D43" s="9"/>
      <c r="F43" s="9"/>
    </row>
    <row r="44" spans="1:21" s="10" customFormat="1" x14ac:dyDescent="0.25">
      <c r="A44" s="9"/>
      <c r="B44" s="9"/>
      <c r="D44" s="9"/>
      <c r="F44" s="9"/>
    </row>
    <row r="45" spans="1:21" s="10" customFormat="1" x14ac:dyDescent="0.25">
      <c r="A45" s="9"/>
      <c r="B45" s="9"/>
      <c r="D45" s="9"/>
      <c r="F45" s="9"/>
    </row>
    <row r="46" spans="1:21" s="10" customFormat="1" x14ac:dyDescent="0.25">
      <c r="A46" s="9"/>
      <c r="B46" s="9"/>
      <c r="D46" s="9"/>
      <c r="F46" s="9"/>
    </row>
    <row r="47" spans="1:21" s="10" customFormat="1" x14ac:dyDescent="0.25">
      <c r="A47" s="9"/>
      <c r="B47" s="9"/>
      <c r="C47" s="9"/>
      <c r="D47" s="9"/>
      <c r="F47" s="9"/>
    </row>
    <row r="48" spans="1:21" s="10" customFormat="1" x14ac:dyDescent="0.25"/>
    <row r="49" spans="8:10" s="10" customFormat="1" x14ac:dyDescent="0.25"/>
    <row r="50" spans="8:10" s="10" customFormat="1" x14ac:dyDescent="0.25"/>
    <row r="51" spans="8:10" s="10" customFormat="1" x14ac:dyDescent="0.25"/>
    <row r="52" spans="8:10" s="10" customFormat="1" x14ac:dyDescent="0.25"/>
    <row r="53" spans="8:10" s="10" customFormat="1" x14ac:dyDescent="0.25"/>
    <row r="54" spans="8:10" s="10" customFormat="1" x14ac:dyDescent="0.25"/>
    <row r="55" spans="8:10" s="10" customFormat="1" x14ac:dyDescent="0.25">
      <c r="H55" s="9"/>
      <c r="J55" s="9"/>
    </row>
    <row r="56" spans="8:10" s="10" customFormat="1" x14ac:dyDescent="0.25">
      <c r="H56" s="9"/>
      <c r="J56" s="9"/>
    </row>
    <row r="57" spans="8:10" s="10" customFormat="1" x14ac:dyDescent="0.25">
      <c r="H57" s="9"/>
      <c r="J57" s="9"/>
    </row>
    <row r="58" spans="8:10" s="10" customFormat="1" x14ac:dyDescent="0.25">
      <c r="H58" s="9"/>
      <c r="J58" s="9"/>
    </row>
    <row r="59" spans="8:10" s="10" customFormat="1" x14ac:dyDescent="0.25">
      <c r="H59" s="9"/>
      <c r="J59" s="9"/>
    </row>
    <row r="60" spans="8:10" s="10" customFormat="1" x14ac:dyDescent="0.25">
      <c r="H60" s="9"/>
      <c r="J60" s="9"/>
    </row>
    <row r="61" spans="8:10" s="10" customFormat="1" x14ac:dyDescent="0.25">
      <c r="H61" s="9"/>
      <c r="J61" s="9"/>
    </row>
    <row r="62" spans="8:10" s="10" customFormat="1" x14ac:dyDescent="0.25">
      <c r="H62" s="9"/>
      <c r="J62" s="9"/>
    </row>
    <row r="63" spans="8:10" s="10" customFormat="1" x14ac:dyDescent="0.25">
      <c r="H63" s="9"/>
      <c r="J63" s="9"/>
    </row>
    <row r="64" spans="8:10" s="10" customFormat="1" x14ac:dyDescent="0.25">
      <c r="H64" s="9"/>
      <c r="J64" s="9"/>
    </row>
    <row r="65" spans="1:11" s="10" customFormat="1" x14ac:dyDescent="0.25">
      <c r="H65" s="9"/>
      <c r="J65" s="9"/>
    </row>
    <row r="66" spans="1:11" s="10" customFormat="1" x14ac:dyDescent="0.25">
      <c r="H66" s="9"/>
      <c r="J66" s="9"/>
    </row>
    <row r="67" spans="1:11" s="10" customFormat="1" x14ac:dyDescent="0.25">
      <c r="H67" s="9"/>
      <c r="J67" s="9"/>
    </row>
    <row r="68" spans="1:11" s="10" customFormat="1" x14ac:dyDescent="0.25">
      <c r="H68" s="9"/>
      <c r="J68" s="9"/>
    </row>
    <row r="69" spans="1:11" s="11" customFormat="1" x14ac:dyDescent="0.25">
      <c r="C69" s="12"/>
      <c r="E69" s="12"/>
      <c r="G69" s="12"/>
      <c r="I69" s="12"/>
      <c r="K69" s="12"/>
    </row>
    <row r="70" spans="1:11" x14ac:dyDescent="0.25">
      <c r="C70" s="10"/>
    </row>
    <row r="71" spans="1:11" x14ac:dyDescent="0.25">
      <c r="A71" s="13"/>
      <c r="C71" s="10"/>
    </row>
    <row r="72" spans="1:11" x14ac:dyDescent="0.25">
      <c r="C72" s="10"/>
    </row>
    <row r="73" spans="1:11" x14ac:dyDescent="0.25">
      <c r="C73" s="10"/>
    </row>
    <row r="74" spans="1:11" x14ac:dyDescent="0.25">
      <c r="C74" s="10"/>
    </row>
    <row r="75" spans="1:11" x14ac:dyDescent="0.25">
      <c r="C75" s="10"/>
    </row>
    <row r="76" spans="1:11" x14ac:dyDescent="0.25">
      <c r="C76" s="10"/>
    </row>
    <row r="77" spans="1:11" x14ac:dyDescent="0.25">
      <c r="C77" s="10"/>
    </row>
    <row r="78" spans="1:11" x14ac:dyDescent="0.25">
      <c r="C78" s="10"/>
    </row>
    <row r="79" spans="1:11" x14ac:dyDescent="0.25">
      <c r="C79" s="10"/>
    </row>
    <row r="80" spans="1:11" x14ac:dyDescent="0.25"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84" spans="3:3" x14ac:dyDescent="0.25">
      <c r="C84" s="10"/>
    </row>
    <row r="85" spans="3:3" x14ac:dyDescent="0.25">
      <c r="C85" s="10"/>
    </row>
    <row r="86" spans="3:3" x14ac:dyDescent="0.25">
      <c r="C86" s="10"/>
    </row>
    <row r="87" spans="3:3" x14ac:dyDescent="0.25">
      <c r="C87" s="10"/>
    </row>
    <row r="1048553" spans="1:21" s="10" customFormat="1" x14ac:dyDescent="0.25">
      <c r="A1048553" s="9"/>
      <c r="B1048553" s="9"/>
      <c r="C1048553" s="9"/>
      <c r="D1048553" s="9"/>
      <c r="F1048553" s="9"/>
      <c r="H1048553" s="9"/>
      <c r="L1048553" s="9"/>
      <c r="M1048553" s="9"/>
      <c r="N1048553" s="9"/>
      <c r="O1048553" s="9"/>
      <c r="P1048553" s="9"/>
      <c r="Q1048553" s="9"/>
      <c r="R1048553" s="9"/>
      <c r="S1048553" s="9"/>
      <c r="T1048553" s="9"/>
      <c r="U1048553" s="9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1048553"/>
  <sheetViews>
    <sheetView workbookViewId="0">
      <pane ySplit="3" topLeftCell="A4" activePane="bottomLeft" state="frozen"/>
      <selection activeCell="K26" activeCellId="1" sqref="K29:K30 K26"/>
      <selection pane="bottomLeft" activeCell="A9" sqref="A9"/>
    </sheetView>
  </sheetViews>
  <sheetFormatPr baseColWidth="10" defaultColWidth="10.7109375" defaultRowHeight="15" x14ac:dyDescent="0.25"/>
  <cols>
    <col min="1" max="1" width="22.7109375" style="9" customWidth="1"/>
    <col min="2" max="2" width="62.28515625" style="9" customWidth="1"/>
    <col min="3" max="3" width="22.42578125" style="9" customWidth="1"/>
    <col min="4" max="4" width="37.5703125" style="9" customWidth="1"/>
    <col min="5" max="5" width="10.7109375" style="10"/>
    <col min="6" max="6" width="6.140625" style="9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2" s="11" customFormat="1" x14ac:dyDescent="0.25">
      <c r="A1" s="11" t="s">
        <v>0</v>
      </c>
      <c r="E1" s="12"/>
      <c r="G1" s="12"/>
      <c r="I1" s="12"/>
    </row>
    <row r="3" spans="1:12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12" t="s">
        <v>13</v>
      </c>
    </row>
    <row r="4" spans="1:12" x14ac:dyDescent="0.25">
      <c r="A4" s="5" t="s">
        <v>1120</v>
      </c>
      <c r="B4" s="5" t="s">
        <v>1121</v>
      </c>
      <c r="C4" s="5" t="s">
        <v>27</v>
      </c>
      <c r="D4" s="5" t="s">
        <v>33</v>
      </c>
      <c r="E4" s="4">
        <v>2950</v>
      </c>
      <c r="F4" s="5"/>
      <c r="G4" s="4" t="s">
        <v>1122</v>
      </c>
      <c r="H4" s="4" t="s">
        <v>1120</v>
      </c>
      <c r="I4" s="4">
        <v>1475</v>
      </c>
      <c r="J4" s="4" t="s">
        <v>37</v>
      </c>
      <c r="K4" s="4">
        <f t="shared" ref="K4:K8" si="0">E4-I4</f>
        <v>1475</v>
      </c>
      <c r="L4" s="5"/>
    </row>
    <row r="5" spans="1:12" x14ac:dyDescent="0.25">
      <c r="A5" s="9" t="s">
        <v>1123</v>
      </c>
      <c r="B5" s="9" t="s">
        <v>1124</v>
      </c>
      <c r="C5" s="9" t="s">
        <v>27</v>
      </c>
      <c r="D5" s="9" t="s">
        <v>33</v>
      </c>
      <c r="E5" s="10">
        <v>600</v>
      </c>
      <c r="G5" s="10" t="s">
        <v>37</v>
      </c>
      <c r="H5" s="10" t="s">
        <v>37</v>
      </c>
      <c r="I5" s="10">
        <v>0</v>
      </c>
      <c r="J5" s="10" t="s">
        <v>37</v>
      </c>
      <c r="K5" s="10">
        <f t="shared" si="0"/>
        <v>600</v>
      </c>
    </row>
    <row r="6" spans="1:12" x14ac:dyDescent="0.25">
      <c r="A6" s="5" t="s">
        <v>1128</v>
      </c>
      <c r="B6" s="5" t="s">
        <v>1129</v>
      </c>
      <c r="C6" s="5" t="s">
        <v>27</v>
      </c>
      <c r="D6" s="5" t="s">
        <v>33</v>
      </c>
      <c r="E6" s="4">
        <v>3550</v>
      </c>
      <c r="F6" s="5"/>
      <c r="G6" s="4" t="s">
        <v>1122</v>
      </c>
      <c r="H6" s="4"/>
      <c r="I6" s="4">
        <v>1800</v>
      </c>
      <c r="J6" s="4" t="s">
        <v>65</v>
      </c>
      <c r="K6" s="4">
        <f t="shared" si="0"/>
        <v>1750</v>
      </c>
    </row>
    <row r="7" spans="1:12" x14ac:dyDescent="0.25">
      <c r="A7" s="5" t="s">
        <v>1130</v>
      </c>
      <c r="B7" s="5" t="s">
        <v>1131</v>
      </c>
      <c r="C7" s="5" t="s">
        <v>27</v>
      </c>
      <c r="D7" s="5" t="s">
        <v>1067</v>
      </c>
      <c r="E7" s="4">
        <v>1740</v>
      </c>
      <c r="F7" s="5"/>
      <c r="G7" s="4" t="s">
        <v>37</v>
      </c>
      <c r="H7" s="4">
        <v>0</v>
      </c>
      <c r="I7" s="4">
        <v>0</v>
      </c>
      <c r="J7" s="4"/>
      <c r="K7" s="4">
        <f t="shared" si="0"/>
        <v>1740</v>
      </c>
      <c r="L7" s="5"/>
    </row>
    <row r="8" spans="1:12" x14ac:dyDescent="0.25">
      <c r="A8" s="5" t="s">
        <v>1132</v>
      </c>
      <c r="B8" s="5" t="s">
        <v>1133</v>
      </c>
      <c r="C8" s="5" t="s">
        <v>27</v>
      </c>
      <c r="D8" s="5" t="s">
        <v>33</v>
      </c>
      <c r="E8" s="4">
        <v>2750</v>
      </c>
      <c r="F8" s="5"/>
      <c r="G8" s="4" t="s">
        <v>131</v>
      </c>
      <c r="H8" s="4" t="s">
        <v>1134</v>
      </c>
      <c r="I8" s="4">
        <v>1600</v>
      </c>
      <c r="J8" s="4" t="s">
        <v>1135</v>
      </c>
      <c r="K8" s="4">
        <f t="shared" si="0"/>
        <v>1150</v>
      </c>
      <c r="L8" s="5"/>
    </row>
    <row r="9" spans="1:12" x14ac:dyDescent="0.25">
      <c r="H9" s="10"/>
      <c r="J9" s="10"/>
    </row>
    <row r="10" spans="1:12" x14ac:dyDescent="0.25">
      <c r="H10" s="10"/>
      <c r="J10" s="10"/>
    </row>
    <row r="11" spans="1:12" x14ac:dyDescent="0.25">
      <c r="H11" s="10"/>
      <c r="J11" s="10"/>
    </row>
    <row r="12" spans="1:12" x14ac:dyDescent="0.25">
      <c r="H12" s="10"/>
      <c r="J12" s="10"/>
    </row>
    <row r="13" spans="1:12" x14ac:dyDescent="0.25">
      <c r="J13" s="10"/>
    </row>
    <row r="14" spans="1:12" x14ac:dyDescent="0.25">
      <c r="H14" s="10"/>
      <c r="J14" s="10"/>
    </row>
    <row r="15" spans="1:12" x14ac:dyDescent="0.25">
      <c r="H15" s="10"/>
      <c r="J15" s="10"/>
    </row>
    <row r="16" spans="1:12" x14ac:dyDescent="0.25">
      <c r="H16" s="10"/>
      <c r="J16" s="10"/>
    </row>
    <row r="17" spans="1:11" x14ac:dyDescent="0.25">
      <c r="H17" s="10"/>
      <c r="J17" s="10"/>
    </row>
    <row r="18" spans="1:11" x14ac:dyDescent="0.25">
      <c r="H18" s="10"/>
      <c r="J18" s="10"/>
    </row>
    <row r="19" spans="1:11" x14ac:dyDescent="0.25">
      <c r="H19" s="10"/>
      <c r="J19" s="10"/>
    </row>
    <row r="20" spans="1:11" x14ac:dyDescent="0.25">
      <c r="H20" s="10"/>
      <c r="J20" s="10"/>
    </row>
    <row r="21" spans="1:11" x14ac:dyDescent="0.25">
      <c r="H21" s="10"/>
      <c r="J21" s="10"/>
    </row>
    <row r="22" spans="1:11" x14ac:dyDescent="0.25">
      <c r="H22" s="10"/>
      <c r="J22" s="10"/>
    </row>
    <row r="23" spans="1:11" x14ac:dyDescent="0.25">
      <c r="H23" s="10"/>
      <c r="J23" s="10"/>
    </row>
    <row r="24" spans="1:11" x14ac:dyDescent="0.25">
      <c r="H24" s="10"/>
      <c r="J24" s="10"/>
    </row>
    <row r="25" spans="1:11" x14ac:dyDescent="0.25">
      <c r="H25" s="10"/>
      <c r="J25" s="10"/>
    </row>
    <row r="26" spans="1:11" x14ac:dyDescent="0.25">
      <c r="H26" s="10"/>
      <c r="J26" s="10"/>
    </row>
    <row r="27" spans="1:11" x14ac:dyDescent="0.25">
      <c r="H27" s="10"/>
      <c r="J27" s="10"/>
    </row>
    <row r="28" spans="1:11" x14ac:dyDescent="0.25">
      <c r="H28" s="10"/>
      <c r="J28" s="10"/>
    </row>
    <row r="29" spans="1:11" x14ac:dyDescent="0.25">
      <c r="F29" s="16"/>
    </row>
    <row r="30" spans="1:11" s="11" customFormat="1" x14ac:dyDescent="0.25">
      <c r="E30" s="12"/>
      <c r="F30" s="17"/>
      <c r="G30" s="12"/>
      <c r="I30" s="12"/>
      <c r="K30" s="12"/>
    </row>
    <row r="31" spans="1:11" x14ac:dyDescent="0.25">
      <c r="F31" s="16"/>
    </row>
    <row r="32" spans="1:11" x14ac:dyDescent="0.25">
      <c r="A32" s="21" t="s">
        <v>1125</v>
      </c>
      <c r="B32" s="21" t="s">
        <v>1062</v>
      </c>
      <c r="C32" s="22">
        <v>3500</v>
      </c>
      <c r="H32" s="10"/>
      <c r="J32" s="10"/>
    </row>
    <row r="33" spans="1:21" s="10" customFormat="1" x14ac:dyDescent="0.25">
      <c r="A33" s="19" t="s">
        <v>1125</v>
      </c>
      <c r="B33" s="19" t="s">
        <v>1063</v>
      </c>
      <c r="C33" s="20">
        <v>4000</v>
      </c>
      <c r="D33" s="9"/>
      <c r="F33" s="16"/>
      <c r="H33" s="9"/>
      <c r="J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s="10" customFormat="1" x14ac:dyDescent="0.25">
      <c r="A34" s="19" t="s">
        <v>1126</v>
      </c>
      <c r="B34" s="19" t="s">
        <v>1062</v>
      </c>
      <c r="C34" s="20">
        <v>3500</v>
      </c>
      <c r="D34" s="9"/>
      <c r="F34" s="16"/>
      <c r="H34" s="9"/>
      <c r="J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s="10" customFormat="1" x14ac:dyDescent="0.25">
      <c r="A35" s="19" t="s">
        <v>1126</v>
      </c>
      <c r="B35" s="19" t="s">
        <v>1063</v>
      </c>
      <c r="C35" s="20">
        <v>4000</v>
      </c>
      <c r="D35" s="9"/>
      <c r="F35" s="16"/>
      <c r="H35" s="16"/>
      <c r="J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s="10" customFormat="1" x14ac:dyDescent="0.25">
      <c r="A36" s="19" t="s">
        <v>1127</v>
      </c>
      <c r="B36" s="19" t="s">
        <v>206</v>
      </c>
      <c r="C36" s="20">
        <v>6300</v>
      </c>
      <c r="D36" s="9"/>
      <c r="F36" s="9"/>
      <c r="H36" s="9"/>
      <c r="J36" s="9"/>
    </row>
    <row r="37" spans="1:21" s="10" customFormat="1" x14ac:dyDescent="0.25">
      <c r="A37" s="19" t="s">
        <v>1126</v>
      </c>
      <c r="B37" s="19" t="s">
        <v>648</v>
      </c>
      <c r="C37" s="20">
        <v>1000</v>
      </c>
      <c r="D37" s="9"/>
      <c r="F37" s="9"/>
      <c r="H37" s="9"/>
      <c r="J37" s="9"/>
    </row>
    <row r="38" spans="1:21" s="10" customFormat="1" x14ac:dyDescent="0.25">
      <c r="A38" s="19" t="s">
        <v>1126</v>
      </c>
      <c r="B38" s="19" t="s">
        <v>1026</v>
      </c>
      <c r="C38" s="20">
        <v>3000</v>
      </c>
      <c r="D38" s="9"/>
      <c r="F38" s="9"/>
      <c r="H38" s="9"/>
      <c r="J38" s="9"/>
    </row>
    <row r="39" spans="1:21" s="10" customFormat="1" x14ac:dyDescent="0.25">
      <c r="A39" s="19" t="s">
        <v>1126</v>
      </c>
      <c r="B39" s="9" t="s">
        <v>72</v>
      </c>
      <c r="C39" s="10">
        <v>550</v>
      </c>
      <c r="D39" s="9"/>
      <c r="F39" s="9"/>
      <c r="H39" s="9"/>
      <c r="J39" s="9"/>
    </row>
    <row r="40" spans="1:21" s="10" customFormat="1" x14ac:dyDescent="0.25">
      <c r="A40" s="19"/>
      <c r="B40" s="19"/>
      <c r="C40" s="20"/>
      <c r="D40" s="9"/>
      <c r="F40" s="9"/>
      <c r="H40" s="9"/>
      <c r="J40" s="9"/>
    </row>
    <row r="41" spans="1:21" s="10" customFormat="1" x14ac:dyDescent="0.25">
      <c r="A41" s="9"/>
      <c r="B41" s="19"/>
      <c r="C41" s="20"/>
      <c r="D41" s="9"/>
      <c r="F41" s="9"/>
      <c r="H41" s="9"/>
      <c r="J41" s="9"/>
    </row>
    <row r="42" spans="1:21" s="10" customFormat="1" x14ac:dyDescent="0.25">
      <c r="A42" s="9"/>
      <c r="B42" s="9"/>
      <c r="D42" s="9"/>
      <c r="F42" s="9"/>
      <c r="H42" s="9"/>
      <c r="J42" s="9"/>
    </row>
    <row r="43" spans="1:21" s="10" customFormat="1" x14ac:dyDescent="0.25">
      <c r="A43" s="9"/>
      <c r="B43" s="9"/>
      <c r="D43" s="9"/>
      <c r="F43" s="9"/>
    </row>
    <row r="44" spans="1:21" s="10" customFormat="1" x14ac:dyDescent="0.25">
      <c r="A44" s="9"/>
      <c r="B44" s="9"/>
      <c r="D44" s="9"/>
      <c r="F44" s="9"/>
    </row>
    <row r="45" spans="1:21" s="10" customFormat="1" x14ac:dyDescent="0.25">
      <c r="A45" s="9"/>
      <c r="B45" s="9"/>
      <c r="D45" s="9"/>
      <c r="F45" s="9"/>
    </row>
    <row r="46" spans="1:21" s="10" customFormat="1" x14ac:dyDescent="0.25">
      <c r="A46" s="9"/>
      <c r="B46" s="9"/>
      <c r="D46" s="9"/>
      <c r="F46" s="9"/>
    </row>
    <row r="47" spans="1:21" s="10" customFormat="1" x14ac:dyDescent="0.25">
      <c r="A47" s="9"/>
      <c r="B47" s="9"/>
      <c r="C47" s="9"/>
      <c r="D47" s="9"/>
      <c r="F47" s="9"/>
    </row>
    <row r="48" spans="1:21" s="10" customFormat="1" x14ac:dyDescent="0.25"/>
    <row r="49" spans="8:10" s="10" customFormat="1" x14ac:dyDescent="0.25"/>
    <row r="50" spans="8:10" s="10" customFormat="1" x14ac:dyDescent="0.25"/>
    <row r="51" spans="8:10" s="10" customFormat="1" x14ac:dyDescent="0.25"/>
    <row r="52" spans="8:10" s="10" customFormat="1" x14ac:dyDescent="0.25"/>
    <row r="53" spans="8:10" s="10" customFormat="1" x14ac:dyDescent="0.25"/>
    <row r="54" spans="8:10" s="10" customFormat="1" x14ac:dyDescent="0.25"/>
    <row r="55" spans="8:10" s="10" customFormat="1" x14ac:dyDescent="0.25">
      <c r="H55" s="9"/>
      <c r="J55" s="9"/>
    </row>
    <row r="56" spans="8:10" s="10" customFormat="1" x14ac:dyDescent="0.25">
      <c r="H56" s="9"/>
      <c r="J56" s="9"/>
    </row>
    <row r="57" spans="8:10" s="10" customFormat="1" x14ac:dyDescent="0.25">
      <c r="H57" s="9"/>
      <c r="J57" s="9"/>
    </row>
    <row r="58" spans="8:10" s="10" customFormat="1" x14ac:dyDescent="0.25">
      <c r="H58" s="9"/>
      <c r="J58" s="9"/>
    </row>
    <row r="59" spans="8:10" s="10" customFormat="1" x14ac:dyDescent="0.25">
      <c r="H59" s="9"/>
      <c r="J59" s="9"/>
    </row>
    <row r="60" spans="8:10" s="10" customFormat="1" x14ac:dyDescent="0.25">
      <c r="H60" s="9"/>
      <c r="J60" s="9"/>
    </row>
    <row r="61" spans="8:10" s="10" customFormat="1" x14ac:dyDescent="0.25">
      <c r="H61" s="9"/>
      <c r="J61" s="9"/>
    </row>
    <row r="62" spans="8:10" s="10" customFormat="1" x14ac:dyDescent="0.25">
      <c r="H62" s="9"/>
      <c r="J62" s="9"/>
    </row>
    <row r="63" spans="8:10" s="10" customFormat="1" x14ac:dyDescent="0.25">
      <c r="H63" s="9"/>
      <c r="J63" s="9"/>
    </row>
    <row r="64" spans="8:10" s="10" customFormat="1" x14ac:dyDescent="0.25">
      <c r="H64" s="9"/>
      <c r="J64" s="9"/>
    </row>
    <row r="65" spans="1:11" s="10" customFormat="1" x14ac:dyDescent="0.25">
      <c r="H65" s="9"/>
      <c r="J65" s="9"/>
    </row>
    <row r="66" spans="1:11" s="10" customFormat="1" x14ac:dyDescent="0.25">
      <c r="H66" s="9"/>
      <c r="J66" s="9"/>
    </row>
    <row r="67" spans="1:11" s="10" customFormat="1" x14ac:dyDescent="0.25">
      <c r="H67" s="9"/>
      <c r="J67" s="9"/>
    </row>
    <row r="68" spans="1:11" s="10" customFormat="1" x14ac:dyDescent="0.25">
      <c r="H68" s="9"/>
      <c r="J68" s="9"/>
    </row>
    <row r="69" spans="1:11" s="11" customFormat="1" x14ac:dyDescent="0.25">
      <c r="C69" s="12"/>
      <c r="E69" s="12"/>
      <c r="G69" s="12"/>
      <c r="I69" s="12"/>
      <c r="K69" s="12"/>
    </row>
    <row r="70" spans="1:11" x14ac:dyDescent="0.25">
      <c r="C70" s="10"/>
    </row>
    <row r="71" spans="1:11" x14ac:dyDescent="0.25">
      <c r="A71" s="13"/>
      <c r="C71" s="10"/>
    </row>
    <row r="72" spans="1:11" x14ac:dyDescent="0.25">
      <c r="C72" s="10"/>
    </row>
    <row r="73" spans="1:11" x14ac:dyDescent="0.25">
      <c r="C73" s="10"/>
    </row>
    <row r="74" spans="1:11" x14ac:dyDescent="0.25">
      <c r="C74" s="10"/>
    </row>
    <row r="75" spans="1:11" x14ac:dyDescent="0.25">
      <c r="C75" s="10"/>
    </row>
    <row r="76" spans="1:11" x14ac:dyDescent="0.25">
      <c r="C76" s="10"/>
    </row>
    <row r="77" spans="1:11" x14ac:dyDescent="0.25">
      <c r="C77" s="10"/>
    </row>
    <row r="78" spans="1:11" x14ac:dyDescent="0.25">
      <c r="C78" s="10"/>
    </row>
    <row r="79" spans="1:11" x14ac:dyDescent="0.25">
      <c r="C79" s="10"/>
    </row>
    <row r="80" spans="1:11" x14ac:dyDescent="0.25"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84" spans="3:3" x14ac:dyDescent="0.25">
      <c r="C84" s="10"/>
    </row>
    <row r="85" spans="3:3" x14ac:dyDescent="0.25">
      <c r="C85" s="10"/>
    </row>
    <row r="86" spans="3:3" x14ac:dyDescent="0.25">
      <c r="C86" s="10"/>
    </row>
    <row r="87" spans="3:3" x14ac:dyDescent="0.25">
      <c r="C87" s="10"/>
    </row>
    <row r="1048553" spans="1:21" s="10" customFormat="1" x14ac:dyDescent="0.25">
      <c r="A1048553" s="9"/>
      <c r="B1048553" s="9"/>
      <c r="C1048553" s="9"/>
      <c r="D1048553" s="9"/>
      <c r="F1048553" s="9"/>
      <c r="H1048553" s="9"/>
      <c r="L1048553" s="9"/>
      <c r="M1048553" s="9"/>
      <c r="N1048553" s="9"/>
      <c r="O1048553" s="9"/>
      <c r="P1048553" s="9"/>
      <c r="Q1048553" s="9"/>
      <c r="R1048553" s="9"/>
      <c r="S1048553" s="9"/>
      <c r="T1048553" s="9"/>
      <c r="U1048553" s="9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1048552"/>
  <sheetViews>
    <sheetView topLeftCell="B1" workbookViewId="0">
      <pane ySplit="3" topLeftCell="A7" activePane="bottomLeft" state="frozen"/>
      <selection activeCell="K26" activeCellId="1" sqref="K29:K30 K26"/>
      <selection pane="bottomLeft" activeCell="B34" sqref="B34"/>
    </sheetView>
  </sheetViews>
  <sheetFormatPr baseColWidth="10" defaultColWidth="10.7109375" defaultRowHeight="15" x14ac:dyDescent="0.25"/>
  <cols>
    <col min="1" max="1" width="22.7109375" style="9" customWidth="1"/>
    <col min="2" max="2" width="62.28515625" style="9" customWidth="1"/>
    <col min="3" max="3" width="22.42578125" style="9" customWidth="1"/>
    <col min="4" max="4" width="37.5703125" style="9" customWidth="1"/>
    <col min="5" max="5" width="10.7109375" style="10"/>
    <col min="6" max="6" width="6.140625" style="9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1" s="11" customFormat="1" x14ac:dyDescent="0.25">
      <c r="A1" s="11" t="s">
        <v>0</v>
      </c>
      <c r="E1" s="12"/>
      <c r="G1" s="12"/>
      <c r="I1" s="12"/>
    </row>
    <row r="3" spans="1:11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12" t="s">
        <v>13</v>
      </c>
    </row>
    <row r="4" spans="1:11" x14ac:dyDescent="0.25">
      <c r="A4" s="5" t="s">
        <v>1139</v>
      </c>
      <c r="B4" s="5" t="s">
        <v>1140</v>
      </c>
      <c r="C4" s="5" t="s">
        <v>27</v>
      </c>
      <c r="D4" s="5" t="s">
        <v>33</v>
      </c>
      <c r="E4" s="4">
        <v>2950</v>
      </c>
      <c r="F4" s="5"/>
      <c r="G4" s="4" t="s">
        <v>1122</v>
      </c>
      <c r="H4" s="4" t="s">
        <v>1120</v>
      </c>
      <c r="I4" s="4">
        <v>1475</v>
      </c>
      <c r="J4" s="4" t="s">
        <v>37</v>
      </c>
      <c r="K4" s="4">
        <f t="shared" ref="K4:K5" si="0">E4-I4</f>
        <v>1475</v>
      </c>
    </row>
    <row r="5" spans="1:11" x14ac:dyDescent="0.25">
      <c r="A5" s="5" t="s">
        <v>1139</v>
      </c>
      <c r="B5" s="5" t="s">
        <v>1141</v>
      </c>
      <c r="C5" s="5" t="s">
        <v>27</v>
      </c>
      <c r="D5" s="5" t="s">
        <v>33</v>
      </c>
      <c r="E5" s="4">
        <v>2950</v>
      </c>
      <c r="F5" s="5"/>
      <c r="G5" s="4" t="s">
        <v>246</v>
      </c>
      <c r="H5" s="4" t="s">
        <v>1142</v>
      </c>
      <c r="I5" s="4">
        <v>2250</v>
      </c>
      <c r="J5" s="4" t="s">
        <v>37</v>
      </c>
      <c r="K5" s="4">
        <f t="shared" si="0"/>
        <v>700</v>
      </c>
    </row>
    <row r="6" spans="1:11" x14ac:dyDescent="0.25">
      <c r="A6" s="5" t="s">
        <v>1139</v>
      </c>
      <c r="B6" s="5" t="s">
        <v>1146</v>
      </c>
      <c r="C6" s="5" t="s">
        <v>27</v>
      </c>
      <c r="D6" s="5" t="s">
        <v>33</v>
      </c>
      <c r="E6" s="4">
        <v>1300</v>
      </c>
      <c r="F6" s="5"/>
      <c r="G6" s="4" t="s">
        <v>1143</v>
      </c>
      <c r="H6" s="4" t="s">
        <v>1142</v>
      </c>
      <c r="I6" s="4">
        <v>0</v>
      </c>
      <c r="J6" s="4" t="s">
        <v>37</v>
      </c>
      <c r="K6" s="4">
        <f t="shared" ref="K6" si="1">E6-I6</f>
        <v>1300</v>
      </c>
    </row>
    <row r="7" spans="1:11" x14ac:dyDescent="0.25">
      <c r="A7" s="5" t="s">
        <v>1144</v>
      </c>
      <c r="B7" s="5" t="s">
        <v>1145</v>
      </c>
      <c r="C7" s="5" t="s">
        <v>27</v>
      </c>
      <c r="D7" s="5" t="s">
        <v>33</v>
      </c>
      <c r="E7" s="4">
        <v>1800</v>
      </c>
      <c r="F7" s="5"/>
      <c r="G7" s="4" t="s">
        <v>37</v>
      </c>
      <c r="H7" s="4" t="s">
        <v>37</v>
      </c>
      <c r="I7" s="4">
        <v>0</v>
      </c>
      <c r="J7" s="4" t="s">
        <v>37</v>
      </c>
      <c r="K7" s="4">
        <f t="shared" ref="K7:K12" si="2">E7-I7</f>
        <v>1800</v>
      </c>
    </row>
    <row r="8" spans="1:11" x14ac:dyDescent="0.25">
      <c r="A8" s="5" t="s">
        <v>1144</v>
      </c>
      <c r="B8" s="5" t="s">
        <v>1147</v>
      </c>
      <c r="C8" s="5" t="s">
        <v>27</v>
      </c>
      <c r="D8" s="5" t="s">
        <v>1035</v>
      </c>
      <c r="E8" s="4">
        <v>10000</v>
      </c>
      <c r="F8" s="5"/>
      <c r="G8" s="4" t="s">
        <v>1148</v>
      </c>
      <c r="H8" s="4" t="s">
        <v>1149</v>
      </c>
      <c r="I8" s="4">
        <v>6000</v>
      </c>
      <c r="J8" s="4" t="s">
        <v>66</v>
      </c>
      <c r="K8" s="4">
        <f t="shared" si="2"/>
        <v>4000</v>
      </c>
    </row>
    <row r="9" spans="1:11" x14ac:dyDescent="0.25">
      <c r="A9" s="5" t="s">
        <v>1149</v>
      </c>
      <c r="B9" s="5" t="s">
        <v>1150</v>
      </c>
      <c r="C9" s="5" t="s">
        <v>27</v>
      </c>
      <c r="D9" s="5" t="s">
        <v>33</v>
      </c>
      <c r="E9" s="4">
        <v>1500</v>
      </c>
      <c r="F9" s="5"/>
      <c r="G9" s="4" t="s">
        <v>37</v>
      </c>
      <c r="H9" s="4" t="s">
        <v>37</v>
      </c>
      <c r="I9" s="4">
        <v>0</v>
      </c>
      <c r="J9" s="4" t="s">
        <v>37</v>
      </c>
      <c r="K9" s="4">
        <f t="shared" si="2"/>
        <v>1500</v>
      </c>
    </row>
    <row r="10" spans="1:11" x14ac:dyDescent="0.25">
      <c r="A10" s="9" t="s">
        <v>1151</v>
      </c>
      <c r="B10" s="9" t="s">
        <v>1152</v>
      </c>
      <c r="C10" s="9" t="s">
        <v>27</v>
      </c>
      <c r="D10" s="9" t="s">
        <v>33</v>
      </c>
      <c r="E10" s="10">
        <v>2700</v>
      </c>
      <c r="G10" s="10" t="s">
        <v>178</v>
      </c>
      <c r="H10" s="10" t="s">
        <v>1151</v>
      </c>
      <c r="I10" s="10">
        <v>1000</v>
      </c>
      <c r="J10" s="10" t="s">
        <v>1160</v>
      </c>
      <c r="K10" s="10">
        <f t="shared" si="2"/>
        <v>1700</v>
      </c>
    </row>
    <row r="11" spans="1:11" x14ac:dyDescent="0.25">
      <c r="A11" s="5" t="s">
        <v>1136</v>
      </c>
      <c r="B11" s="5" t="s">
        <v>1153</v>
      </c>
      <c r="C11" s="5" t="s">
        <v>27</v>
      </c>
      <c r="D11" s="5" t="s">
        <v>33</v>
      </c>
      <c r="E11" s="4">
        <v>4300</v>
      </c>
      <c r="F11" s="5"/>
      <c r="G11" s="4" t="s">
        <v>1148</v>
      </c>
      <c r="H11" s="4" t="s">
        <v>1136</v>
      </c>
      <c r="I11" s="4">
        <v>1100</v>
      </c>
      <c r="J11" s="4" t="s">
        <v>66</v>
      </c>
      <c r="K11" s="4">
        <f t="shared" si="2"/>
        <v>3200</v>
      </c>
    </row>
    <row r="12" spans="1:11" x14ac:dyDescent="0.25">
      <c r="A12" s="5" t="s">
        <v>1154</v>
      </c>
      <c r="B12" s="5" t="s">
        <v>1155</v>
      </c>
      <c r="C12" s="5" t="s">
        <v>27</v>
      </c>
      <c r="D12" s="5" t="s">
        <v>33</v>
      </c>
      <c r="E12" s="4">
        <v>1200</v>
      </c>
      <c r="F12" s="5"/>
      <c r="G12" s="4" t="s">
        <v>37</v>
      </c>
      <c r="H12" s="4" t="s">
        <v>37</v>
      </c>
      <c r="I12" s="4">
        <v>0</v>
      </c>
      <c r="J12" s="4" t="s">
        <v>37</v>
      </c>
      <c r="K12" s="4">
        <f t="shared" si="2"/>
        <v>1200</v>
      </c>
    </row>
    <row r="13" spans="1:11" x14ac:dyDescent="0.25">
      <c r="A13" s="5" t="s">
        <v>1156</v>
      </c>
      <c r="B13" s="5" t="s">
        <v>1157</v>
      </c>
      <c r="C13" s="5" t="s">
        <v>27</v>
      </c>
      <c r="D13" s="5" t="s">
        <v>33</v>
      </c>
      <c r="E13" s="4">
        <v>1800</v>
      </c>
      <c r="F13" s="5"/>
      <c r="G13" s="4" t="s">
        <v>1158</v>
      </c>
      <c r="H13" s="4" t="s">
        <v>1159</v>
      </c>
      <c r="I13" s="4">
        <f>748*2</f>
        <v>1496</v>
      </c>
      <c r="J13" s="4" t="s">
        <v>1160</v>
      </c>
      <c r="K13" s="4">
        <f t="shared" ref="K13" si="3">E13-I13</f>
        <v>304</v>
      </c>
    </row>
    <row r="14" spans="1:11" x14ac:dyDescent="0.25">
      <c r="A14" s="5" t="s">
        <v>1156</v>
      </c>
      <c r="B14" s="5" t="s">
        <v>1161</v>
      </c>
      <c r="C14" s="5" t="s">
        <v>27</v>
      </c>
      <c r="D14" s="5" t="s">
        <v>33</v>
      </c>
      <c r="E14" s="4">
        <v>800</v>
      </c>
      <c r="F14" s="5"/>
      <c r="G14" s="4" t="s">
        <v>37</v>
      </c>
      <c r="H14" s="4" t="s">
        <v>37</v>
      </c>
      <c r="I14" s="4">
        <v>500</v>
      </c>
      <c r="J14" s="4" t="s">
        <v>37</v>
      </c>
      <c r="K14" s="4">
        <f t="shared" ref="K14:K16" si="4">E14-I14</f>
        <v>300</v>
      </c>
    </row>
    <row r="15" spans="1:11" x14ac:dyDescent="0.25">
      <c r="A15" s="5" t="s">
        <v>1137</v>
      </c>
      <c r="B15" s="5" t="s">
        <v>1162</v>
      </c>
      <c r="C15" s="5" t="s">
        <v>27</v>
      </c>
      <c r="D15" s="5" t="s">
        <v>33</v>
      </c>
      <c r="E15" s="4">
        <v>4000</v>
      </c>
      <c r="F15" s="5"/>
      <c r="G15" s="4" t="s">
        <v>1163</v>
      </c>
      <c r="H15" s="4" t="s">
        <v>1137</v>
      </c>
      <c r="I15" s="4">
        <v>1500</v>
      </c>
      <c r="J15" s="4" t="s">
        <v>37</v>
      </c>
      <c r="K15" s="4">
        <f t="shared" si="4"/>
        <v>2500</v>
      </c>
    </row>
    <row r="16" spans="1:11" x14ac:dyDescent="0.25">
      <c r="A16" s="5" t="s">
        <v>1137</v>
      </c>
      <c r="B16" s="5" t="s">
        <v>1164</v>
      </c>
      <c r="C16" s="5" t="s">
        <v>27</v>
      </c>
      <c r="D16" s="5" t="s">
        <v>383</v>
      </c>
      <c r="E16" s="4">
        <v>12700</v>
      </c>
      <c r="F16" s="5"/>
      <c r="G16" s="4" t="s">
        <v>1165</v>
      </c>
      <c r="H16" s="4" t="s">
        <v>1137</v>
      </c>
      <c r="I16" s="4">
        <v>8000</v>
      </c>
      <c r="J16" s="4" t="s">
        <v>37</v>
      </c>
      <c r="K16" s="4">
        <f t="shared" si="4"/>
        <v>4700</v>
      </c>
    </row>
    <row r="17" spans="1:21" x14ac:dyDescent="0.25">
      <c r="H17" s="10"/>
      <c r="J17" s="10"/>
    </row>
    <row r="18" spans="1:21" x14ac:dyDescent="0.25">
      <c r="H18" s="10"/>
      <c r="J18" s="10"/>
    </row>
    <row r="19" spans="1:21" x14ac:dyDescent="0.25">
      <c r="H19" s="10"/>
      <c r="J19" s="10"/>
    </row>
    <row r="20" spans="1:21" x14ac:dyDescent="0.25">
      <c r="H20" s="10"/>
      <c r="J20" s="10"/>
    </row>
    <row r="21" spans="1:21" x14ac:dyDescent="0.25">
      <c r="H21" s="10"/>
      <c r="J21" s="10"/>
    </row>
    <row r="22" spans="1:21" x14ac:dyDescent="0.25">
      <c r="H22" s="10"/>
      <c r="J22" s="10"/>
    </row>
    <row r="23" spans="1:21" x14ac:dyDescent="0.25">
      <c r="H23" s="10"/>
      <c r="J23" s="10"/>
    </row>
    <row r="24" spans="1:21" x14ac:dyDescent="0.25">
      <c r="H24" s="10"/>
      <c r="J24" s="10"/>
    </row>
    <row r="25" spans="1:21" x14ac:dyDescent="0.25">
      <c r="H25" s="10"/>
      <c r="J25" s="10"/>
    </row>
    <row r="26" spans="1:21" x14ac:dyDescent="0.25">
      <c r="H26" s="10"/>
      <c r="J26" s="10"/>
    </row>
    <row r="27" spans="1:21" x14ac:dyDescent="0.25">
      <c r="H27" s="10"/>
      <c r="J27" s="10"/>
    </row>
    <row r="28" spans="1:21" x14ac:dyDescent="0.25">
      <c r="F28" s="16"/>
    </row>
    <row r="29" spans="1:21" s="11" customFormat="1" x14ac:dyDescent="0.25">
      <c r="E29" s="12"/>
      <c r="F29" s="17"/>
      <c r="G29" s="12"/>
      <c r="I29" s="12"/>
      <c r="K29" s="12"/>
    </row>
    <row r="30" spans="1:21" x14ac:dyDescent="0.25">
      <c r="F30" s="16"/>
    </row>
    <row r="31" spans="1:21" x14ac:dyDescent="0.25">
      <c r="A31" s="21" t="s">
        <v>1136</v>
      </c>
      <c r="B31" s="21" t="s">
        <v>1062</v>
      </c>
      <c r="C31" s="22">
        <v>3500</v>
      </c>
      <c r="H31" s="10"/>
      <c r="J31" s="10"/>
    </row>
    <row r="32" spans="1:21" s="10" customFormat="1" x14ac:dyDescent="0.25">
      <c r="A32" s="19" t="s">
        <v>1136</v>
      </c>
      <c r="B32" s="19" t="s">
        <v>1063</v>
      </c>
      <c r="C32" s="20">
        <v>4000</v>
      </c>
      <c r="D32" s="9"/>
      <c r="F32" s="16"/>
      <c r="H32" s="9"/>
      <c r="J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1" s="10" customFormat="1" x14ac:dyDescent="0.25">
      <c r="A33" s="21" t="s">
        <v>1137</v>
      </c>
      <c r="B33" s="21" t="s">
        <v>1062</v>
      </c>
      <c r="C33" s="22">
        <v>3500</v>
      </c>
      <c r="D33" s="9"/>
      <c r="F33" s="16"/>
      <c r="H33" s="9"/>
      <c r="J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s="10" customFormat="1" x14ac:dyDescent="0.25">
      <c r="A34" s="19" t="s">
        <v>1137</v>
      </c>
      <c r="B34" s="19" t="s">
        <v>1063</v>
      </c>
      <c r="C34" s="20">
        <v>4000</v>
      </c>
      <c r="D34" s="9"/>
      <c r="F34" s="16"/>
      <c r="H34" s="16"/>
      <c r="J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s="10" customFormat="1" x14ac:dyDescent="0.25">
      <c r="A35" s="21" t="s">
        <v>1138</v>
      </c>
      <c r="B35" s="21" t="s">
        <v>206</v>
      </c>
      <c r="C35" s="22">
        <v>6300</v>
      </c>
      <c r="D35" s="9"/>
      <c r="F35" s="9"/>
      <c r="H35" s="9"/>
      <c r="J35" s="9"/>
    </row>
    <row r="36" spans="1:21" s="10" customFormat="1" x14ac:dyDescent="0.25">
      <c r="A36" s="19" t="s">
        <v>1137</v>
      </c>
      <c r="B36" s="19" t="s">
        <v>648</v>
      </c>
      <c r="C36" s="20">
        <v>1000</v>
      </c>
      <c r="D36" s="9"/>
      <c r="F36" s="9"/>
      <c r="H36" s="9"/>
      <c r="J36" s="9"/>
    </row>
    <row r="37" spans="1:21" s="10" customFormat="1" x14ac:dyDescent="0.25">
      <c r="A37" s="19" t="s">
        <v>1137</v>
      </c>
      <c r="B37" s="19" t="s">
        <v>1026</v>
      </c>
      <c r="C37" s="20">
        <v>3000</v>
      </c>
      <c r="D37" s="9"/>
      <c r="F37" s="9"/>
      <c r="H37" s="9"/>
      <c r="J37" s="9"/>
    </row>
    <row r="38" spans="1:21" s="10" customFormat="1" x14ac:dyDescent="0.25">
      <c r="A38" s="21" t="s">
        <v>1137</v>
      </c>
      <c r="B38" s="5" t="s">
        <v>72</v>
      </c>
      <c r="C38" s="4">
        <v>550</v>
      </c>
      <c r="D38" s="9"/>
      <c r="F38" s="9"/>
      <c r="H38" s="9"/>
      <c r="J38" s="9"/>
    </row>
    <row r="39" spans="1:21" s="10" customFormat="1" x14ac:dyDescent="0.25">
      <c r="A39" s="19"/>
      <c r="B39" s="19"/>
      <c r="C39" s="20"/>
      <c r="D39" s="9"/>
      <c r="F39" s="9"/>
      <c r="H39" s="9"/>
      <c r="J39" s="9"/>
    </row>
    <row r="40" spans="1:21" s="10" customFormat="1" x14ac:dyDescent="0.25">
      <c r="A40" s="9"/>
      <c r="B40" s="19"/>
      <c r="C40" s="20"/>
      <c r="D40" s="9"/>
      <c r="F40" s="9"/>
      <c r="H40" s="9"/>
      <c r="J40" s="9"/>
    </row>
    <row r="41" spans="1:21" s="10" customFormat="1" x14ac:dyDescent="0.25">
      <c r="A41" s="9"/>
      <c r="B41" s="9"/>
      <c r="D41" s="9"/>
      <c r="F41" s="9"/>
      <c r="H41" s="9"/>
      <c r="J41" s="9"/>
    </row>
    <row r="42" spans="1:21" s="10" customFormat="1" x14ac:dyDescent="0.25">
      <c r="A42" s="9"/>
      <c r="B42" s="9"/>
      <c r="D42" s="9"/>
      <c r="F42" s="9"/>
    </row>
    <row r="43" spans="1:21" s="10" customFormat="1" x14ac:dyDescent="0.25">
      <c r="A43" s="9"/>
      <c r="B43" s="9"/>
      <c r="D43" s="9"/>
      <c r="F43" s="9"/>
    </row>
    <row r="44" spans="1:21" s="10" customFormat="1" x14ac:dyDescent="0.25">
      <c r="A44" s="9"/>
      <c r="B44" s="9"/>
      <c r="D44" s="9"/>
      <c r="F44" s="9"/>
    </row>
    <row r="45" spans="1:21" s="10" customFormat="1" x14ac:dyDescent="0.25">
      <c r="A45" s="9"/>
      <c r="B45" s="9"/>
      <c r="D45" s="9"/>
      <c r="F45" s="9"/>
    </row>
    <row r="46" spans="1:21" s="10" customFormat="1" x14ac:dyDescent="0.25">
      <c r="A46" s="9"/>
      <c r="B46" s="9"/>
      <c r="C46" s="9"/>
      <c r="D46" s="9"/>
      <c r="F46" s="9"/>
    </row>
    <row r="47" spans="1:21" s="10" customFormat="1" x14ac:dyDescent="0.25"/>
    <row r="48" spans="1:21" s="10" customFormat="1" x14ac:dyDescent="0.25"/>
    <row r="49" spans="8:10" s="10" customFormat="1" x14ac:dyDescent="0.25"/>
    <row r="50" spans="8:10" s="10" customFormat="1" x14ac:dyDescent="0.25"/>
    <row r="51" spans="8:10" s="10" customFormat="1" x14ac:dyDescent="0.25"/>
    <row r="52" spans="8:10" s="10" customFormat="1" x14ac:dyDescent="0.25"/>
    <row r="53" spans="8:10" s="10" customFormat="1" x14ac:dyDescent="0.25"/>
    <row r="54" spans="8:10" s="10" customFormat="1" x14ac:dyDescent="0.25">
      <c r="H54" s="9"/>
      <c r="J54" s="9"/>
    </row>
    <row r="55" spans="8:10" s="10" customFormat="1" x14ac:dyDescent="0.25">
      <c r="H55" s="9"/>
      <c r="J55" s="9"/>
    </row>
    <row r="56" spans="8:10" s="10" customFormat="1" x14ac:dyDescent="0.25">
      <c r="H56" s="9"/>
      <c r="J56" s="9"/>
    </row>
    <row r="57" spans="8:10" s="10" customFormat="1" x14ac:dyDescent="0.25">
      <c r="H57" s="9"/>
      <c r="J57" s="9"/>
    </row>
    <row r="58" spans="8:10" s="10" customFormat="1" x14ac:dyDescent="0.25">
      <c r="H58" s="9"/>
      <c r="J58" s="9"/>
    </row>
    <row r="59" spans="8:10" s="10" customFormat="1" x14ac:dyDescent="0.25">
      <c r="H59" s="9"/>
      <c r="J59" s="9"/>
    </row>
    <row r="60" spans="8:10" s="10" customFormat="1" x14ac:dyDescent="0.25">
      <c r="H60" s="9"/>
      <c r="J60" s="9"/>
    </row>
    <row r="61" spans="8:10" s="10" customFormat="1" x14ac:dyDescent="0.25">
      <c r="H61" s="9"/>
      <c r="J61" s="9"/>
    </row>
    <row r="62" spans="8:10" s="10" customFormat="1" x14ac:dyDescent="0.25">
      <c r="H62" s="9"/>
      <c r="J62" s="9"/>
    </row>
    <row r="63" spans="8:10" s="10" customFormat="1" x14ac:dyDescent="0.25">
      <c r="H63" s="9"/>
      <c r="J63" s="9"/>
    </row>
    <row r="64" spans="8:10" s="10" customFormat="1" x14ac:dyDescent="0.25">
      <c r="H64" s="9"/>
      <c r="J64" s="9"/>
    </row>
    <row r="65" spans="1:11" s="10" customFormat="1" x14ac:dyDescent="0.25">
      <c r="H65" s="9"/>
      <c r="J65" s="9"/>
    </row>
    <row r="66" spans="1:11" s="10" customFormat="1" x14ac:dyDescent="0.25">
      <c r="H66" s="9"/>
      <c r="J66" s="9"/>
    </row>
    <row r="67" spans="1:11" s="10" customFormat="1" x14ac:dyDescent="0.25">
      <c r="H67" s="9"/>
      <c r="J67" s="9"/>
    </row>
    <row r="68" spans="1:11" s="11" customFormat="1" x14ac:dyDescent="0.25">
      <c r="C68" s="12"/>
      <c r="E68" s="12"/>
      <c r="G68" s="12"/>
      <c r="I68" s="12"/>
      <c r="K68" s="12"/>
    </row>
    <row r="69" spans="1:11" x14ac:dyDescent="0.25">
      <c r="C69" s="10"/>
    </row>
    <row r="70" spans="1:11" x14ac:dyDescent="0.25">
      <c r="A70" s="13"/>
      <c r="C70" s="10"/>
    </row>
    <row r="71" spans="1:11" x14ac:dyDescent="0.25">
      <c r="C71" s="10"/>
    </row>
    <row r="72" spans="1:11" x14ac:dyDescent="0.25">
      <c r="C72" s="10"/>
    </row>
    <row r="73" spans="1:11" x14ac:dyDescent="0.25">
      <c r="C73" s="10"/>
    </row>
    <row r="74" spans="1:11" x14ac:dyDescent="0.25">
      <c r="C74" s="10"/>
    </row>
    <row r="75" spans="1:11" x14ac:dyDescent="0.25">
      <c r="C75" s="10"/>
    </row>
    <row r="76" spans="1:11" x14ac:dyDescent="0.25">
      <c r="C76" s="10"/>
    </row>
    <row r="77" spans="1:11" x14ac:dyDescent="0.25">
      <c r="C77" s="10"/>
    </row>
    <row r="78" spans="1:11" x14ac:dyDescent="0.25">
      <c r="C78" s="10"/>
    </row>
    <row r="79" spans="1:11" x14ac:dyDescent="0.25">
      <c r="C79" s="10"/>
    </row>
    <row r="80" spans="1:11" x14ac:dyDescent="0.25"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84" spans="3:3" x14ac:dyDescent="0.25">
      <c r="C84" s="10"/>
    </row>
    <row r="85" spans="3:3" x14ac:dyDescent="0.25">
      <c r="C85" s="10"/>
    </row>
    <row r="86" spans="3:3" x14ac:dyDescent="0.25">
      <c r="C86" s="10"/>
    </row>
    <row r="1048552" spans="1:21" s="10" customFormat="1" x14ac:dyDescent="0.25">
      <c r="A1048552" s="9"/>
      <c r="B1048552" s="9"/>
      <c r="C1048552" s="9"/>
      <c r="D1048552" s="9"/>
      <c r="F1048552" s="9"/>
      <c r="H1048552" s="9"/>
      <c r="L1048552" s="9"/>
      <c r="M1048552" s="9"/>
      <c r="N1048552" s="9"/>
      <c r="O1048552" s="9"/>
      <c r="P1048552" s="9"/>
      <c r="Q1048552" s="9"/>
      <c r="R1048552" s="9"/>
      <c r="S1048552" s="9"/>
      <c r="T1048552" s="9"/>
      <c r="U1048552" s="9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1048549"/>
  <sheetViews>
    <sheetView workbookViewId="0">
      <pane ySplit="3" topLeftCell="A7" activePane="bottomLeft" state="frozen"/>
      <selection activeCell="K26" activeCellId="1" sqref="K29:K30 K26"/>
      <selection pane="bottomLeft" activeCell="A34" sqref="A34"/>
    </sheetView>
  </sheetViews>
  <sheetFormatPr baseColWidth="10" defaultColWidth="10.7109375" defaultRowHeight="15" x14ac:dyDescent="0.25"/>
  <cols>
    <col min="1" max="1" width="22.7109375" style="9" customWidth="1"/>
    <col min="2" max="2" width="62.28515625" style="9" customWidth="1"/>
    <col min="3" max="3" width="22.42578125" style="9" customWidth="1"/>
    <col min="4" max="4" width="37.5703125" style="9" customWidth="1"/>
    <col min="5" max="5" width="10.7109375" style="10"/>
    <col min="6" max="6" width="6.140625" style="9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2" s="11" customFormat="1" x14ac:dyDescent="0.25">
      <c r="A1" s="11" t="s">
        <v>0</v>
      </c>
      <c r="E1" s="12"/>
      <c r="G1" s="12"/>
      <c r="I1" s="12"/>
    </row>
    <row r="3" spans="1:12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12" t="s">
        <v>13</v>
      </c>
    </row>
    <row r="4" spans="1:12" x14ac:dyDescent="0.25">
      <c r="A4" s="5" t="s">
        <v>1166</v>
      </c>
      <c r="B4" s="5" t="s">
        <v>550</v>
      </c>
      <c r="C4" s="5" t="s">
        <v>27</v>
      </c>
      <c r="D4" s="5" t="s">
        <v>33</v>
      </c>
      <c r="E4" s="4">
        <f>1950+600</f>
        <v>2550</v>
      </c>
      <c r="F4" s="5"/>
      <c r="G4" s="4" t="s">
        <v>1167</v>
      </c>
      <c r="H4" s="4" t="s">
        <v>37</v>
      </c>
      <c r="I4" s="4">
        <v>0</v>
      </c>
      <c r="J4" s="4" t="s">
        <v>37</v>
      </c>
      <c r="K4" s="4">
        <f t="shared" ref="K4:K5" si="0">E4-I4</f>
        <v>2550</v>
      </c>
      <c r="L4" s="5"/>
    </row>
    <row r="5" spans="1:12" x14ac:dyDescent="0.25">
      <c r="A5" s="5" t="s">
        <v>1166</v>
      </c>
      <c r="B5" s="5" t="s">
        <v>1168</v>
      </c>
      <c r="C5" s="5" t="s">
        <v>27</v>
      </c>
      <c r="D5" s="5" t="s">
        <v>33</v>
      </c>
      <c r="E5" s="4">
        <v>800</v>
      </c>
      <c r="F5" s="5"/>
      <c r="G5" s="4" t="s">
        <v>37</v>
      </c>
      <c r="H5" s="4" t="s">
        <v>37</v>
      </c>
      <c r="I5" s="4">
        <v>0</v>
      </c>
      <c r="J5" s="4" t="s">
        <v>37</v>
      </c>
      <c r="K5" s="4">
        <f t="shared" si="0"/>
        <v>800</v>
      </c>
      <c r="L5" s="5"/>
    </row>
    <row r="6" spans="1:12" x14ac:dyDescent="0.25">
      <c r="A6" s="5" t="s">
        <v>1169</v>
      </c>
      <c r="B6" s="5" t="s">
        <v>704</v>
      </c>
      <c r="C6" s="5" t="s">
        <v>27</v>
      </c>
      <c r="D6" s="5" t="s">
        <v>33</v>
      </c>
      <c r="E6" s="4">
        <v>950</v>
      </c>
      <c r="F6" s="5"/>
      <c r="G6" s="4" t="s">
        <v>37</v>
      </c>
      <c r="H6" s="4" t="s">
        <v>37</v>
      </c>
      <c r="I6" s="4">
        <v>0</v>
      </c>
      <c r="J6" s="4" t="s">
        <v>37</v>
      </c>
      <c r="K6" s="4">
        <f t="shared" ref="K6" si="1">E6-I6</f>
        <v>950</v>
      </c>
      <c r="L6" s="5"/>
    </row>
    <row r="7" spans="1:12" x14ac:dyDescent="0.25">
      <c r="A7" s="5" t="s">
        <v>1170</v>
      </c>
      <c r="B7" s="5" t="s">
        <v>1171</v>
      </c>
      <c r="C7" s="5" t="s">
        <v>27</v>
      </c>
      <c r="D7" s="5" t="s">
        <v>33</v>
      </c>
      <c r="E7" s="4">
        <v>1800</v>
      </c>
      <c r="F7" s="5"/>
      <c r="G7" s="4" t="s">
        <v>1172</v>
      </c>
      <c r="H7" s="4" t="s">
        <v>37</v>
      </c>
      <c r="I7" s="4">
        <v>450</v>
      </c>
      <c r="J7" s="4" t="s">
        <v>37</v>
      </c>
      <c r="K7" s="4">
        <f t="shared" ref="K7:K20" si="2">E7-I7</f>
        <v>1350</v>
      </c>
      <c r="L7" s="5"/>
    </row>
    <row r="8" spans="1:12" x14ac:dyDescent="0.25">
      <c r="A8" s="5" t="s">
        <v>1170</v>
      </c>
      <c r="B8" s="5" t="s">
        <v>1173</v>
      </c>
      <c r="C8" s="5" t="s">
        <v>27</v>
      </c>
      <c r="D8" s="5" t="s">
        <v>33</v>
      </c>
      <c r="E8" s="4">
        <v>700</v>
      </c>
      <c r="F8" s="5"/>
      <c r="G8" s="4" t="s">
        <v>37</v>
      </c>
      <c r="H8" s="4" t="s">
        <v>37</v>
      </c>
      <c r="I8" s="4">
        <v>0</v>
      </c>
      <c r="J8" s="4" t="s">
        <v>37</v>
      </c>
      <c r="K8" s="4">
        <f t="shared" si="2"/>
        <v>700</v>
      </c>
      <c r="L8" s="5"/>
    </row>
    <row r="9" spans="1:12" x14ac:dyDescent="0.25">
      <c r="A9" s="5" t="s">
        <v>1174</v>
      </c>
      <c r="B9" s="5" t="s">
        <v>1177</v>
      </c>
      <c r="C9" s="5" t="s">
        <v>27</v>
      </c>
      <c r="D9" s="5" t="s">
        <v>33</v>
      </c>
      <c r="E9" s="4">
        <v>750</v>
      </c>
      <c r="F9" s="5"/>
      <c r="G9" s="4" t="s">
        <v>37</v>
      </c>
      <c r="H9" s="4" t="s">
        <v>37</v>
      </c>
      <c r="I9" s="4">
        <v>0</v>
      </c>
      <c r="J9" s="4" t="s">
        <v>37</v>
      </c>
      <c r="K9" s="4">
        <f t="shared" si="2"/>
        <v>750</v>
      </c>
      <c r="L9" s="5"/>
    </row>
    <row r="10" spans="1:12" x14ac:dyDescent="0.25">
      <c r="A10" s="5" t="s">
        <v>1178</v>
      </c>
      <c r="B10" s="5" t="s">
        <v>1179</v>
      </c>
      <c r="C10" s="5" t="s">
        <v>27</v>
      </c>
      <c r="D10" s="5" t="s">
        <v>33</v>
      </c>
      <c r="E10" s="4">
        <v>700</v>
      </c>
      <c r="F10" s="5"/>
      <c r="G10" s="4" t="s">
        <v>37</v>
      </c>
      <c r="H10" s="4" t="s">
        <v>37</v>
      </c>
      <c r="I10" s="4">
        <v>0</v>
      </c>
      <c r="J10" s="4" t="s">
        <v>37</v>
      </c>
      <c r="K10" s="4">
        <f t="shared" si="2"/>
        <v>700</v>
      </c>
      <c r="L10" s="5"/>
    </row>
    <row r="11" spans="1:12" x14ac:dyDescent="0.25">
      <c r="A11" s="5" t="s">
        <v>1178</v>
      </c>
      <c r="B11" s="5" t="s">
        <v>1180</v>
      </c>
      <c r="C11" s="5" t="s">
        <v>27</v>
      </c>
      <c r="D11" s="5" t="s">
        <v>33</v>
      </c>
      <c r="E11" s="4">
        <v>1800</v>
      </c>
      <c r="F11" s="5"/>
      <c r="G11" s="4" t="s">
        <v>75</v>
      </c>
      <c r="H11" s="4" t="s">
        <v>37</v>
      </c>
      <c r="I11" s="4">
        <v>450</v>
      </c>
      <c r="J11" s="4"/>
      <c r="K11" s="4">
        <f t="shared" si="2"/>
        <v>1350</v>
      </c>
      <c r="L11" s="5"/>
    </row>
    <row r="12" spans="1:12" x14ac:dyDescent="0.25">
      <c r="A12" s="5" t="s">
        <v>1178</v>
      </c>
      <c r="B12" s="5" t="s">
        <v>1181</v>
      </c>
      <c r="C12" s="5" t="s">
        <v>27</v>
      </c>
      <c r="D12" s="5" t="s">
        <v>527</v>
      </c>
      <c r="E12" s="4">
        <v>850</v>
      </c>
      <c r="F12" s="5"/>
      <c r="G12" s="4" t="s">
        <v>37</v>
      </c>
      <c r="H12" s="4" t="s">
        <v>37</v>
      </c>
      <c r="I12" s="4">
        <v>0</v>
      </c>
      <c r="J12" s="4" t="s">
        <v>37</v>
      </c>
      <c r="K12" s="4">
        <f t="shared" si="2"/>
        <v>850</v>
      </c>
      <c r="L12" s="5"/>
    </row>
    <row r="13" spans="1:12" x14ac:dyDescent="0.25">
      <c r="A13" s="5" t="s">
        <v>1182</v>
      </c>
      <c r="B13" s="5" t="s">
        <v>1183</v>
      </c>
      <c r="C13" s="5" t="s">
        <v>27</v>
      </c>
      <c r="D13" s="5" t="s">
        <v>33</v>
      </c>
      <c r="E13" s="4">
        <v>2200</v>
      </c>
      <c r="F13" s="5"/>
      <c r="G13" s="4" t="s">
        <v>37</v>
      </c>
      <c r="H13" s="4" t="s">
        <v>37</v>
      </c>
      <c r="I13" s="4">
        <v>0</v>
      </c>
      <c r="J13" s="4" t="s">
        <v>37</v>
      </c>
      <c r="K13" s="4">
        <f t="shared" si="2"/>
        <v>2200</v>
      </c>
      <c r="L13" s="5"/>
    </row>
    <row r="14" spans="1:12" x14ac:dyDescent="0.25">
      <c r="A14" s="5" t="s">
        <v>1184</v>
      </c>
      <c r="B14" s="5" t="s">
        <v>1185</v>
      </c>
      <c r="C14" s="5" t="s">
        <v>27</v>
      </c>
      <c r="D14" s="5" t="s">
        <v>33</v>
      </c>
      <c r="E14" s="4">
        <v>800</v>
      </c>
      <c r="F14" s="5"/>
      <c r="G14" s="4" t="s">
        <v>1186</v>
      </c>
      <c r="H14" s="4" t="s">
        <v>37</v>
      </c>
      <c r="I14" s="4">
        <v>250</v>
      </c>
      <c r="J14" s="4" t="s">
        <v>37</v>
      </c>
      <c r="K14" s="4">
        <f t="shared" si="2"/>
        <v>550</v>
      </c>
      <c r="L14" s="5"/>
    </row>
    <row r="15" spans="1:12" x14ac:dyDescent="0.25">
      <c r="A15" s="5" t="s">
        <v>1184</v>
      </c>
      <c r="B15" s="5" t="s">
        <v>1187</v>
      </c>
      <c r="C15" s="5" t="s">
        <v>27</v>
      </c>
      <c r="D15" s="5" t="s">
        <v>33</v>
      </c>
      <c r="E15" s="4">
        <v>1550</v>
      </c>
      <c r="F15" s="5"/>
      <c r="G15" s="4" t="s">
        <v>1188</v>
      </c>
      <c r="H15" s="4" t="s">
        <v>37</v>
      </c>
      <c r="I15" s="4">
        <v>500</v>
      </c>
      <c r="J15" s="4" t="s">
        <v>37</v>
      </c>
      <c r="K15" s="4">
        <f t="shared" si="2"/>
        <v>1050</v>
      </c>
      <c r="L15" s="5"/>
    </row>
    <row r="16" spans="1:12" x14ac:dyDescent="0.25">
      <c r="A16" s="5" t="s">
        <v>1189</v>
      </c>
      <c r="B16" s="5" t="s">
        <v>1190</v>
      </c>
      <c r="C16" s="5" t="s">
        <v>27</v>
      </c>
      <c r="D16" s="5" t="s">
        <v>33</v>
      </c>
      <c r="E16" s="4">
        <v>700</v>
      </c>
      <c r="F16" s="5"/>
      <c r="G16" s="4" t="s">
        <v>1191</v>
      </c>
      <c r="H16" s="4" t="s">
        <v>37</v>
      </c>
      <c r="I16" s="4">
        <v>0</v>
      </c>
      <c r="J16" s="4" t="s">
        <v>37</v>
      </c>
      <c r="K16" s="4">
        <f t="shared" si="2"/>
        <v>700</v>
      </c>
      <c r="L16" s="5"/>
    </row>
    <row r="17" spans="1:21" x14ac:dyDescent="0.25">
      <c r="A17" s="5" t="s">
        <v>1192</v>
      </c>
      <c r="B17" s="5" t="s">
        <v>1193</v>
      </c>
      <c r="C17" s="5" t="s">
        <v>27</v>
      </c>
      <c r="D17" s="5" t="s">
        <v>33</v>
      </c>
      <c r="E17" s="4">
        <v>3500</v>
      </c>
      <c r="F17" s="5"/>
      <c r="G17" s="4" t="s">
        <v>1194</v>
      </c>
      <c r="H17" s="4" t="s">
        <v>37</v>
      </c>
      <c r="I17" s="4">
        <v>1200</v>
      </c>
      <c r="J17" s="4" t="s">
        <v>1195</v>
      </c>
      <c r="K17" s="4">
        <f t="shared" si="2"/>
        <v>2300</v>
      </c>
      <c r="L17" s="5"/>
    </row>
    <row r="18" spans="1:21" x14ac:dyDescent="0.25">
      <c r="A18" s="5" t="s">
        <v>1192</v>
      </c>
      <c r="B18" s="5" t="s">
        <v>1196</v>
      </c>
      <c r="C18" s="5" t="s">
        <v>27</v>
      </c>
      <c r="D18" s="5" t="s">
        <v>33</v>
      </c>
      <c r="E18" s="4">
        <v>1800</v>
      </c>
      <c r="F18" s="5"/>
      <c r="G18" s="4"/>
      <c r="H18" s="4" t="s">
        <v>1197</v>
      </c>
      <c r="I18" s="4">
        <v>1100</v>
      </c>
      <c r="J18" s="4" t="s">
        <v>66</v>
      </c>
      <c r="K18" s="4">
        <f t="shared" si="2"/>
        <v>700</v>
      </c>
      <c r="L18" s="5"/>
    </row>
    <row r="19" spans="1:21" x14ac:dyDescent="0.25">
      <c r="A19" s="5" t="s">
        <v>1198</v>
      </c>
      <c r="B19" s="5" t="s">
        <v>1199</v>
      </c>
      <c r="C19" s="5" t="s">
        <v>27</v>
      </c>
      <c r="D19" s="5" t="s">
        <v>33</v>
      </c>
      <c r="E19" s="4">
        <v>1578</v>
      </c>
      <c r="F19" s="5"/>
      <c r="G19" s="4" t="s">
        <v>1200</v>
      </c>
      <c r="H19" s="4" t="s">
        <v>1198</v>
      </c>
      <c r="I19" s="4">
        <v>1300</v>
      </c>
      <c r="J19" s="4" t="s">
        <v>1201</v>
      </c>
      <c r="K19" s="4">
        <f t="shared" si="2"/>
        <v>278</v>
      </c>
      <c r="L19" s="5"/>
    </row>
    <row r="20" spans="1:21" x14ac:dyDescent="0.25">
      <c r="A20" s="5" t="s">
        <v>1198</v>
      </c>
      <c r="B20" s="5" t="s">
        <v>1202</v>
      </c>
      <c r="C20" s="5" t="s">
        <v>27</v>
      </c>
      <c r="D20" s="5" t="s">
        <v>33</v>
      </c>
      <c r="E20" s="4">
        <v>350</v>
      </c>
      <c r="F20" s="5"/>
      <c r="G20" s="4" t="s">
        <v>37</v>
      </c>
      <c r="H20" s="4" t="s">
        <v>37</v>
      </c>
      <c r="I20" s="4">
        <v>0</v>
      </c>
      <c r="J20" s="4" t="s">
        <v>37</v>
      </c>
      <c r="K20" s="4">
        <f t="shared" si="2"/>
        <v>350</v>
      </c>
      <c r="L20" s="5"/>
    </row>
    <row r="21" spans="1:21" x14ac:dyDescent="0.25">
      <c r="A21" s="5" t="s">
        <v>1198</v>
      </c>
      <c r="B21" s="5" t="s">
        <v>1203</v>
      </c>
      <c r="C21" s="5" t="s">
        <v>27</v>
      </c>
      <c r="D21" s="5" t="s">
        <v>33</v>
      </c>
      <c r="E21" s="4">
        <v>350</v>
      </c>
      <c r="F21" s="5"/>
      <c r="G21" s="4" t="s">
        <v>37</v>
      </c>
      <c r="H21" s="4" t="s">
        <v>37</v>
      </c>
      <c r="I21" s="4">
        <v>0</v>
      </c>
      <c r="J21" s="4" t="s">
        <v>37</v>
      </c>
      <c r="K21" s="4">
        <f t="shared" ref="K21:K22" si="3">E21-I21</f>
        <v>350</v>
      </c>
      <c r="L21" s="5"/>
    </row>
    <row r="22" spans="1:21" x14ac:dyDescent="0.25">
      <c r="A22" s="5" t="s">
        <v>1204</v>
      </c>
      <c r="B22" s="5" t="s">
        <v>1205</v>
      </c>
      <c r="C22" s="5" t="s">
        <v>27</v>
      </c>
      <c r="D22" s="5" t="s">
        <v>33</v>
      </c>
      <c r="E22" s="4">
        <v>1600</v>
      </c>
      <c r="F22" s="5"/>
      <c r="G22" s="4" t="s">
        <v>37</v>
      </c>
      <c r="H22" s="4" t="s">
        <v>37</v>
      </c>
      <c r="I22" s="4">
        <v>500</v>
      </c>
      <c r="J22" s="4"/>
      <c r="K22" s="4">
        <f t="shared" si="3"/>
        <v>1100</v>
      </c>
      <c r="L22" s="5"/>
    </row>
    <row r="23" spans="1:21" x14ac:dyDescent="0.25">
      <c r="H23" s="10"/>
      <c r="J23" s="10"/>
    </row>
    <row r="24" spans="1:21" x14ac:dyDescent="0.25">
      <c r="H24" s="10"/>
      <c r="J24" s="10"/>
    </row>
    <row r="25" spans="1:21" x14ac:dyDescent="0.25">
      <c r="F25" s="16"/>
    </row>
    <row r="26" spans="1:21" s="11" customFormat="1" x14ac:dyDescent="0.25">
      <c r="E26" s="12"/>
      <c r="F26" s="17"/>
      <c r="G26" s="12"/>
      <c r="I26" s="12"/>
      <c r="K26" s="12"/>
    </row>
    <row r="27" spans="1:21" x14ac:dyDescent="0.25">
      <c r="F27" s="16"/>
    </row>
    <row r="28" spans="1:21" x14ac:dyDescent="0.25">
      <c r="A28" s="21" t="s">
        <v>1174</v>
      </c>
      <c r="B28" s="21" t="s">
        <v>1062</v>
      </c>
      <c r="C28" s="22">
        <v>3500</v>
      </c>
      <c r="H28" s="10"/>
      <c r="J28" s="10"/>
    </row>
    <row r="29" spans="1:21" s="10" customFormat="1" x14ac:dyDescent="0.25">
      <c r="A29" s="19" t="s">
        <v>1174</v>
      </c>
      <c r="B29" s="19" t="s">
        <v>1063</v>
      </c>
      <c r="C29" s="20">
        <v>4000</v>
      </c>
      <c r="D29" s="9"/>
      <c r="F29" s="16"/>
      <c r="H29" s="9"/>
      <c r="J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1" s="10" customFormat="1" x14ac:dyDescent="0.25">
      <c r="A30" s="21" t="s">
        <v>1175</v>
      </c>
      <c r="B30" s="21" t="s">
        <v>1062</v>
      </c>
      <c r="C30" s="22">
        <v>3500</v>
      </c>
      <c r="D30" s="9"/>
      <c r="F30" s="16"/>
      <c r="H30" s="9"/>
      <c r="J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 s="10" customFormat="1" x14ac:dyDescent="0.25">
      <c r="A31" s="19" t="s">
        <v>1175</v>
      </c>
      <c r="B31" s="19" t="s">
        <v>1063</v>
      </c>
      <c r="C31" s="20">
        <v>4000</v>
      </c>
      <c r="D31" s="9"/>
      <c r="F31" s="16"/>
      <c r="H31" s="16"/>
      <c r="J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1" s="10" customFormat="1" x14ac:dyDescent="0.25">
      <c r="A32" s="21" t="s">
        <v>1176</v>
      </c>
      <c r="B32" s="21" t="s">
        <v>206</v>
      </c>
      <c r="C32" s="22">
        <v>6300</v>
      </c>
      <c r="D32" s="9"/>
      <c r="F32" s="9"/>
      <c r="H32" s="9"/>
      <c r="J32" s="9"/>
    </row>
    <row r="33" spans="1:10" s="10" customFormat="1" x14ac:dyDescent="0.25">
      <c r="A33" s="19" t="s">
        <v>1175</v>
      </c>
      <c r="B33" s="19" t="s">
        <v>648</v>
      </c>
      <c r="C33" s="20">
        <v>1000</v>
      </c>
      <c r="D33" s="9"/>
      <c r="F33" s="9"/>
      <c r="H33" s="9"/>
      <c r="J33" s="9"/>
    </row>
    <row r="34" spans="1:10" s="10" customFormat="1" x14ac:dyDescent="0.25">
      <c r="A34" s="19" t="s">
        <v>1175</v>
      </c>
      <c r="B34" s="19" t="s">
        <v>1026</v>
      </c>
      <c r="C34" s="20">
        <v>3000</v>
      </c>
      <c r="D34" s="9"/>
      <c r="F34" s="9"/>
      <c r="H34" s="9"/>
      <c r="J34" s="9"/>
    </row>
    <row r="35" spans="1:10" s="10" customFormat="1" x14ac:dyDescent="0.25">
      <c r="A35" s="21" t="s">
        <v>1175</v>
      </c>
      <c r="B35" s="5" t="s">
        <v>72</v>
      </c>
      <c r="C35" s="4">
        <v>550</v>
      </c>
      <c r="D35" s="9"/>
      <c r="F35" s="9"/>
      <c r="H35" s="9"/>
      <c r="J35" s="9"/>
    </row>
    <row r="36" spans="1:10" s="10" customFormat="1" x14ac:dyDescent="0.25">
      <c r="A36" s="19"/>
      <c r="B36" s="19"/>
      <c r="C36" s="20"/>
      <c r="D36" s="9"/>
      <c r="F36" s="9"/>
      <c r="H36" s="9"/>
      <c r="J36" s="9"/>
    </row>
    <row r="37" spans="1:10" s="10" customFormat="1" x14ac:dyDescent="0.25">
      <c r="A37" s="9"/>
      <c r="B37" s="19"/>
      <c r="C37" s="20"/>
      <c r="D37" s="9"/>
      <c r="F37" s="9"/>
      <c r="H37" s="9"/>
      <c r="J37" s="9"/>
    </row>
    <row r="38" spans="1:10" s="10" customFormat="1" x14ac:dyDescent="0.25">
      <c r="A38" s="9"/>
      <c r="B38" s="9"/>
      <c r="D38" s="9"/>
      <c r="F38" s="9"/>
      <c r="H38" s="9"/>
      <c r="J38" s="9"/>
    </row>
    <row r="39" spans="1:10" s="10" customFormat="1" x14ac:dyDescent="0.25">
      <c r="A39" s="9"/>
      <c r="B39" s="9"/>
      <c r="D39" s="9"/>
      <c r="F39" s="9"/>
    </row>
    <row r="40" spans="1:10" s="10" customFormat="1" x14ac:dyDescent="0.25">
      <c r="A40" s="9"/>
      <c r="B40" s="9"/>
      <c r="D40" s="9"/>
      <c r="F40" s="9"/>
    </row>
    <row r="41" spans="1:10" s="10" customFormat="1" x14ac:dyDescent="0.25">
      <c r="A41" s="9"/>
      <c r="B41" s="9"/>
      <c r="D41" s="9"/>
      <c r="F41" s="9"/>
    </row>
    <row r="42" spans="1:10" s="10" customFormat="1" x14ac:dyDescent="0.25">
      <c r="A42" s="9"/>
      <c r="B42" s="9"/>
      <c r="D42" s="9"/>
      <c r="F42" s="9"/>
    </row>
    <row r="43" spans="1:10" s="10" customFormat="1" x14ac:dyDescent="0.25">
      <c r="A43" s="9"/>
      <c r="B43" s="9"/>
      <c r="C43" s="9"/>
      <c r="D43" s="9"/>
      <c r="F43" s="9"/>
    </row>
    <row r="44" spans="1:10" s="10" customFormat="1" x14ac:dyDescent="0.25"/>
    <row r="45" spans="1:10" s="10" customFormat="1" x14ac:dyDescent="0.25"/>
    <row r="46" spans="1:10" s="10" customFormat="1" x14ac:dyDescent="0.25"/>
    <row r="47" spans="1:10" s="10" customFormat="1" x14ac:dyDescent="0.25"/>
    <row r="48" spans="1:10" s="10" customFormat="1" x14ac:dyDescent="0.25"/>
    <row r="49" spans="8:10" s="10" customFormat="1" x14ac:dyDescent="0.25"/>
    <row r="50" spans="8:10" s="10" customFormat="1" x14ac:dyDescent="0.25"/>
    <row r="51" spans="8:10" s="10" customFormat="1" x14ac:dyDescent="0.25">
      <c r="H51" s="9"/>
      <c r="J51" s="9"/>
    </row>
    <row r="52" spans="8:10" s="10" customFormat="1" x14ac:dyDescent="0.25">
      <c r="H52" s="9"/>
      <c r="J52" s="9"/>
    </row>
    <row r="53" spans="8:10" s="10" customFormat="1" x14ac:dyDescent="0.25">
      <c r="H53" s="9"/>
      <c r="J53" s="9"/>
    </row>
    <row r="54" spans="8:10" s="10" customFormat="1" x14ac:dyDescent="0.25">
      <c r="H54" s="9"/>
      <c r="J54" s="9"/>
    </row>
    <row r="55" spans="8:10" s="10" customFormat="1" x14ac:dyDescent="0.25">
      <c r="H55" s="9"/>
      <c r="J55" s="9"/>
    </row>
    <row r="56" spans="8:10" s="10" customFormat="1" x14ac:dyDescent="0.25">
      <c r="H56" s="9"/>
      <c r="J56" s="9"/>
    </row>
    <row r="57" spans="8:10" s="10" customFormat="1" x14ac:dyDescent="0.25">
      <c r="H57" s="9"/>
      <c r="J57" s="9"/>
    </row>
    <row r="58" spans="8:10" s="10" customFormat="1" x14ac:dyDescent="0.25">
      <c r="H58" s="9"/>
      <c r="J58" s="9"/>
    </row>
    <row r="59" spans="8:10" s="10" customFormat="1" x14ac:dyDescent="0.25">
      <c r="H59" s="9"/>
      <c r="J59" s="9"/>
    </row>
    <row r="60" spans="8:10" s="10" customFormat="1" x14ac:dyDescent="0.25">
      <c r="H60" s="9"/>
      <c r="J60" s="9"/>
    </row>
    <row r="61" spans="8:10" s="10" customFormat="1" x14ac:dyDescent="0.25">
      <c r="H61" s="9"/>
      <c r="J61" s="9"/>
    </row>
    <row r="62" spans="8:10" s="10" customFormat="1" x14ac:dyDescent="0.25">
      <c r="H62" s="9"/>
      <c r="J62" s="9"/>
    </row>
    <row r="63" spans="8:10" s="10" customFormat="1" x14ac:dyDescent="0.25">
      <c r="H63" s="9"/>
      <c r="J63" s="9"/>
    </row>
    <row r="64" spans="8:10" s="10" customFormat="1" x14ac:dyDescent="0.25">
      <c r="H64" s="9"/>
      <c r="J64" s="9"/>
    </row>
    <row r="65" spans="1:11" s="11" customFormat="1" x14ac:dyDescent="0.25">
      <c r="C65" s="12"/>
      <c r="E65" s="12"/>
      <c r="G65" s="12"/>
      <c r="I65" s="12"/>
      <c r="K65" s="12"/>
    </row>
    <row r="66" spans="1:11" x14ac:dyDescent="0.25">
      <c r="C66" s="10"/>
    </row>
    <row r="67" spans="1:11" x14ac:dyDescent="0.25">
      <c r="A67" s="13"/>
      <c r="C67" s="10"/>
    </row>
    <row r="68" spans="1:11" x14ac:dyDescent="0.25">
      <c r="C68" s="10"/>
    </row>
    <row r="69" spans="1:11" x14ac:dyDescent="0.25">
      <c r="C69" s="10"/>
    </row>
    <row r="70" spans="1:11" x14ac:dyDescent="0.25">
      <c r="C70" s="10"/>
    </row>
    <row r="71" spans="1:11" x14ac:dyDescent="0.25">
      <c r="C71" s="10"/>
    </row>
    <row r="72" spans="1:11" x14ac:dyDescent="0.25">
      <c r="C72" s="10"/>
    </row>
    <row r="73" spans="1:11" x14ac:dyDescent="0.25">
      <c r="C73" s="10"/>
    </row>
    <row r="74" spans="1:11" x14ac:dyDescent="0.25">
      <c r="C74" s="10"/>
    </row>
    <row r="75" spans="1:11" x14ac:dyDescent="0.25">
      <c r="C75" s="10"/>
    </row>
    <row r="76" spans="1:11" x14ac:dyDescent="0.25">
      <c r="C76" s="10"/>
    </row>
    <row r="77" spans="1:11" x14ac:dyDescent="0.25">
      <c r="C77" s="10"/>
    </row>
    <row r="78" spans="1:11" x14ac:dyDescent="0.25">
      <c r="C78" s="10"/>
    </row>
    <row r="79" spans="1:11" x14ac:dyDescent="0.25">
      <c r="C79" s="10"/>
    </row>
    <row r="80" spans="1:11" x14ac:dyDescent="0.25"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1048549" spans="1:21" s="10" customFormat="1" x14ac:dyDescent="0.25">
      <c r="A1048549" s="9"/>
      <c r="B1048549" s="9"/>
      <c r="C1048549" s="9"/>
      <c r="D1048549" s="9"/>
      <c r="F1048549" s="9"/>
      <c r="H1048549" s="9"/>
      <c r="L1048549" s="9"/>
      <c r="M1048549" s="9"/>
      <c r="N1048549" s="9"/>
      <c r="O1048549" s="9"/>
      <c r="P1048549" s="9"/>
      <c r="Q1048549" s="9"/>
      <c r="R1048549" s="9"/>
      <c r="S1048549" s="9"/>
      <c r="T1048549" s="9"/>
      <c r="U1048549" s="9"/>
    </row>
  </sheetData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1048549"/>
  <sheetViews>
    <sheetView workbookViewId="0">
      <pane ySplit="3" topLeftCell="A10" activePane="bottomLeft" state="frozen"/>
      <selection activeCell="K26" activeCellId="1" sqref="K29:K30 K26"/>
      <selection pane="bottomLeft" activeCell="A35" sqref="A35:C35"/>
    </sheetView>
  </sheetViews>
  <sheetFormatPr baseColWidth="10" defaultColWidth="10.7109375" defaultRowHeight="15" x14ac:dyDescent="0.25"/>
  <cols>
    <col min="1" max="1" width="22.7109375" style="9" customWidth="1"/>
    <col min="2" max="2" width="68.85546875" style="9" customWidth="1"/>
    <col min="3" max="3" width="22.42578125" style="9" customWidth="1"/>
    <col min="4" max="4" width="37.5703125" style="9" customWidth="1"/>
    <col min="5" max="5" width="10.7109375" style="10"/>
    <col min="6" max="6" width="6.140625" style="9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3" s="11" customFormat="1" x14ac:dyDescent="0.25">
      <c r="A1" s="11" t="s">
        <v>0</v>
      </c>
      <c r="E1" s="12"/>
      <c r="G1" s="12"/>
      <c r="I1" s="12"/>
    </row>
    <row r="3" spans="1:13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12" t="s">
        <v>13</v>
      </c>
    </row>
    <row r="4" spans="1:13" x14ac:dyDescent="0.25">
      <c r="A4" s="27" t="s">
        <v>1206</v>
      </c>
      <c r="B4" s="5" t="s">
        <v>1207</v>
      </c>
      <c r="C4" s="5" t="s">
        <v>27</v>
      </c>
      <c r="D4" s="5" t="s">
        <v>33</v>
      </c>
      <c r="E4" s="4">
        <v>650</v>
      </c>
      <c r="F4" s="5"/>
      <c r="G4" s="4" t="s">
        <v>37</v>
      </c>
      <c r="H4" s="4" t="s">
        <v>37</v>
      </c>
      <c r="I4" s="4">
        <v>0</v>
      </c>
      <c r="J4" s="4" t="s">
        <v>37</v>
      </c>
      <c r="K4" s="4">
        <f t="shared" ref="K4:K12" si="0">E4-I4</f>
        <v>650</v>
      </c>
      <c r="L4" s="5"/>
    </row>
    <row r="5" spans="1:13" x14ac:dyDescent="0.25">
      <c r="A5" s="5" t="s">
        <v>1208</v>
      </c>
      <c r="B5" s="5" t="s">
        <v>1209</v>
      </c>
      <c r="C5" s="5" t="s">
        <v>27</v>
      </c>
      <c r="D5" s="5" t="s">
        <v>33</v>
      </c>
      <c r="E5" s="4">
        <v>1750</v>
      </c>
      <c r="F5" s="5"/>
      <c r="G5" s="4" t="s">
        <v>1210</v>
      </c>
      <c r="H5" s="4" t="s">
        <v>1211</v>
      </c>
      <c r="I5" s="4">
        <v>1250</v>
      </c>
      <c r="J5" s="4" t="s">
        <v>83</v>
      </c>
      <c r="K5" s="4">
        <f t="shared" si="0"/>
        <v>500</v>
      </c>
      <c r="L5" s="5"/>
    </row>
    <row r="6" spans="1:13" x14ac:dyDescent="0.25">
      <c r="A6" s="5" t="s">
        <v>1208</v>
      </c>
      <c r="B6" s="5" t="s">
        <v>1212</v>
      </c>
      <c r="C6" s="5" t="s">
        <v>27</v>
      </c>
      <c r="D6" s="5" t="s">
        <v>33</v>
      </c>
      <c r="E6" s="4">
        <v>850</v>
      </c>
      <c r="F6" s="5"/>
      <c r="G6" s="4" t="s">
        <v>37</v>
      </c>
      <c r="H6" s="4" t="s">
        <v>37</v>
      </c>
      <c r="I6" s="4">
        <v>0</v>
      </c>
      <c r="J6" s="4" t="s">
        <v>37</v>
      </c>
      <c r="K6" s="4">
        <f t="shared" si="0"/>
        <v>850</v>
      </c>
      <c r="L6" s="5"/>
    </row>
    <row r="7" spans="1:13" x14ac:dyDescent="0.25">
      <c r="A7" s="5" t="s">
        <v>1208</v>
      </c>
      <c r="B7" s="5" t="s">
        <v>1213</v>
      </c>
      <c r="C7" s="5" t="s">
        <v>27</v>
      </c>
      <c r="D7" s="5" t="s">
        <v>33</v>
      </c>
      <c r="E7" s="4">
        <v>500</v>
      </c>
      <c r="F7" s="5"/>
      <c r="G7" s="4" t="s">
        <v>37</v>
      </c>
      <c r="H7" s="4" t="s">
        <v>37</v>
      </c>
      <c r="I7" s="4">
        <v>0</v>
      </c>
      <c r="J7" s="4" t="s">
        <v>37</v>
      </c>
      <c r="K7" s="4">
        <f t="shared" si="0"/>
        <v>500</v>
      </c>
      <c r="L7" s="5"/>
    </row>
    <row r="8" spans="1:13" x14ac:dyDescent="0.25">
      <c r="A8" s="5" t="s">
        <v>1214</v>
      </c>
      <c r="B8" s="5" t="s">
        <v>1215</v>
      </c>
      <c r="C8" s="5" t="s">
        <v>27</v>
      </c>
      <c r="D8" s="5" t="s">
        <v>779</v>
      </c>
      <c r="E8" s="4">
        <v>11850</v>
      </c>
      <c r="F8" s="5"/>
      <c r="G8" s="4" t="s">
        <v>1216</v>
      </c>
      <c r="H8" s="28" t="s">
        <v>1214</v>
      </c>
      <c r="I8" s="4">
        <v>8950</v>
      </c>
      <c r="J8" s="4" t="s">
        <v>66</v>
      </c>
      <c r="K8" s="4">
        <f t="shared" si="0"/>
        <v>2900</v>
      </c>
      <c r="L8" s="5"/>
    </row>
    <row r="9" spans="1:13" x14ac:dyDescent="0.25">
      <c r="A9" s="5" t="s">
        <v>1217</v>
      </c>
      <c r="B9" s="5" t="s">
        <v>122</v>
      </c>
      <c r="C9" s="5" t="s">
        <v>27</v>
      </c>
      <c r="D9" s="5" t="s">
        <v>33</v>
      </c>
      <c r="E9" s="4">
        <v>1300</v>
      </c>
      <c r="F9" s="5"/>
      <c r="G9" s="4" t="s">
        <v>1218</v>
      </c>
      <c r="H9" s="4" t="s">
        <v>37</v>
      </c>
      <c r="I9" s="4">
        <v>350</v>
      </c>
      <c r="J9" s="4" t="s">
        <v>37</v>
      </c>
      <c r="K9" s="4">
        <f t="shared" si="0"/>
        <v>950</v>
      </c>
      <c r="L9" s="5"/>
    </row>
    <row r="10" spans="1:13" x14ac:dyDescent="0.25">
      <c r="A10" s="5" t="s">
        <v>1219</v>
      </c>
      <c r="B10" s="5" t="s">
        <v>1220</v>
      </c>
      <c r="C10" s="5" t="s">
        <v>27</v>
      </c>
      <c r="D10" s="5" t="s">
        <v>1067</v>
      </c>
      <c r="E10" s="4">
        <v>2890</v>
      </c>
      <c r="F10" s="5"/>
      <c r="G10" s="4" t="s">
        <v>1221</v>
      </c>
      <c r="H10" s="4" t="s">
        <v>1219</v>
      </c>
      <c r="I10" s="4">
        <v>2090</v>
      </c>
      <c r="J10" s="4" t="s">
        <v>37</v>
      </c>
      <c r="K10" s="4">
        <f t="shared" si="0"/>
        <v>800</v>
      </c>
      <c r="L10" s="5"/>
    </row>
    <row r="11" spans="1:13" x14ac:dyDescent="0.25">
      <c r="A11" s="5" t="s">
        <v>1222</v>
      </c>
      <c r="B11" s="5" t="s">
        <v>1223</v>
      </c>
      <c r="C11" s="5" t="s">
        <v>27</v>
      </c>
      <c r="D11" s="5" t="s">
        <v>33</v>
      </c>
      <c r="E11" s="4">
        <v>1300</v>
      </c>
      <c r="F11" s="5"/>
      <c r="G11" s="4" t="s">
        <v>37</v>
      </c>
      <c r="H11" s="4" t="s">
        <v>1222</v>
      </c>
      <c r="I11" s="4">
        <v>0</v>
      </c>
      <c r="J11" s="4" t="s">
        <v>37</v>
      </c>
      <c r="K11" s="4">
        <f t="shared" si="0"/>
        <v>1300</v>
      </c>
      <c r="L11" s="5"/>
      <c r="M11" s="9" t="s">
        <v>1228</v>
      </c>
    </row>
    <row r="12" spans="1:13" x14ac:dyDescent="0.25">
      <c r="A12" s="5" t="s">
        <v>1222</v>
      </c>
      <c r="B12" s="5" t="s">
        <v>1224</v>
      </c>
      <c r="C12" s="5" t="s">
        <v>27</v>
      </c>
      <c r="D12" s="5" t="s">
        <v>33</v>
      </c>
      <c r="E12" s="4">
        <v>3000</v>
      </c>
      <c r="F12" s="5"/>
      <c r="G12" s="4" t="s">
        <v>1225</v>
      </c>
      <c r="H12" s="4" t="s">
        <v>1222</v>
      </c>
      <c r="I12" s="4">
        <v>1300</v>
      </c>
      <c r="J12" s="4" t="s">
        <v>65</v>
      </c>
      <c r="K12" s="4">
        <f t="shared" si="0"/>
        <v>1700</v>
      </c>
      <c r="L12" s="5"/>
    </row>
    <row r="13" spans="1:13" x14ac:dyDescent="0.25">
      <c r="A13" s="5" t="s">
        <v>1222</v>
      </c>
      <c r="B13" s="5" t="s">
        <v>1226</v>
      </c>
      <c r="C13" s="5" t="s">
        <v>27</v>
      </c>
      <c r="D13" s="5" t="s">
        <v>33</v>
      </c>
      <c r="E13" s="4">
        <v>2830</v>
      </c>
      <c r="F13" s="5"/>
      <c r="G13" s="4" t="s">
        <v>1227</v>
      </c>
      <c r="H13" s="4" t="s">
        <v>1222</v>
      </c>
      <c r="I13" s="4">
        <v>1525</v>
      </c>
      <c r="J13" s="4"/>
      <c r="K13" s="4">
        <f t="shared" ref="K13:K16" si="1">E13-I13</f>
        <v>1305</v>
      </c>
      <c r="L13" s="5"/>
      <c r="M13" s="9" t="s">
        <v>1228</v>
      </c>
    </row>
    <row r="14" spans="1:13" x14ac:dyDescent="0.25">
      <c r="A14" s="5" t="s">
        <v>1222</v>
      </c>
      <c r="B14" s="5" t="s">
        <v>361</v>
      </c>
      <c r="C14" s="5" t="s">
        <v>27</v>
      </c>
      <c r="D14" s="5" t="s">
        <v>33</v>
      </c>
      <c r="E14" s="4">
        <v>1450</v>
      </c>
      <c r="F14" s="5"/>
      <c r="G14" s="4" t="s">
        <v>1053</v>
      </c>
      <c r="H14" s="4" t="s">
        <v>1222</v>
      </c>
      <c r="I14" s="4">
        <v>1050</v>
      </c>
      <c r="J14" s="4" t="s">
        <v>66</v>
      </c>
      <c r="K14" s="4">
        <f t="shared" si="1"/>
        <v>400</v>
      </c>
      <c r="L14" s="5"/>
      <c r="M14" s="9" t="s">
        <v>1228</v>
      </c>
    </row>
    <row r="15" spans="1:13" x14ac:dyDescent="0.25">
      <c r="A15" s="5" t="s">
        <v>1229</v>
      </c>
      <c r="B15" s="5" t="s">
        <v>471</v>
      </c>
      <c r="C15" s="5" t="s">
        <v>27</v>
      </c>
      <c r="D15" s="5" t="s">
        <v>33</v>
      </c>
      <c r="E15" s="4">
        <v>600</v>
      </c>
      <c r="F15" s="5"/>
      <c r="G15" s="4" t="s">
        <v>37</v>
      </c>
      <c r="H15" s="4" t="s">
        <v>1229</v>
      </c>
      <c r="I15" s="4">
        <v>0</v>
      </c>
      <c r="J15" s="4" t="s">
        <v>37</v>
      </c>
      <c r="K15" s="4">
        <f t="shared" si="1"/>
        <v>600</v>
      </c>
      <c r="L15" s="5"/>
    </row>
    <row r="16" spans="1:13" x14ac:dyDescent="0.25">
      <c r="A16" s="5" t="s">
        <v>1230</v>
      </c>
      <c r="B16" s="5" t="s">
        <v>1231</v>
      </c>
      <c r="C16" s="5" t="s">
        <v>27</v>
      </c>
      <c r="D16" s="5" t="s">
        <v>33</v>
      </c>
      <c r="E16" s="4">
        <v>800</v>
      </c>
      <c r="F16" s="5"/>
      <c r="G16" s="4" t="s">
        <v>37</v>
      </c>
      <c r="H16" s="4" t="s">
        <v>37</v>
      </c>
      <c r="I16" s="4">
        <v>0</v>
      </c>
      <c r="J16" s="4" t="s">
        <v>37</v>
      </c>
      <c r="K16" s="4">
        <f t="shared" si="1"/>
        <v>800</v>
      </c>
      <c r="L16" s="5"/>
    </row>
    <row r="17" spans="1:21" x14ac:dyDescent="0.25">
      <c r="A17" s="5" t="s">
        <v>1230</v>
      </c>
      <c r="B17" s="5" t="s">
        <v>1232</v>
      </c>
      <c r="C17" s="5" t="s">
        <v>27</v>
      </c>
      <c r="D17" s="5" t="s">
        <v>249</v>
      </c>
      <c r="E17" s="4">
        <f>650+350</f>
        <v>1000</v>
      </c>
      <c r="F17" s="5"/>
      <c r="G17" s="4" t="s">
        <v>578</v>
      </c>
      <c r="H17" s="4" t="s">
        <v>1230</v>
      </c>
      <c r="I17" s="4">
        <v>400</v>
      </c>
      <c r="J17" s="4" t="s">
        <v>37</v>
      </c>
      <c r="K17" s="4">
        <f t="shared" ref="K17:K19" si="2">E17-I17</f>
        <v>600</v>
      </c>
      <c r="L17" s="5"/>
    </row>
    <row r="18" spans="1:21" x14ac:dyDescent="0.25">
      <c r="A18" s="5" t="s">
        <v>1235</v>
      </c>
      <c r="B18" s="5" t="s">
        <v>1236</v>
      </c>
      <c r="C18" s="5" t="s">
        <v>27</v>
      </c>
      <c r="D18" s="5" t="s">
        <v>33</v>
      </c>
      <c r="E18" s="4">
        <v>1500</v>
      </c>
      <c r="F18" s="5"/>
      <c r="G18" s="4" t="s">
        <v>1237</v>
      </c>
      <c r="H18" s="4" t="s">
        <v>1235</v>
      </c>
      <c r="I18" s="4">
        <v>1062</v>
      </c>
      <c r="J18" s="4" t="s">
        <v>65</v>
      </c>
      <c r="K18" s="4">
        <f t="shared" si="2"/>
        <v>438</v>
      </c>
      <c r="L18" s="5"/>
    </row>
    <row r="19" spans="1:21" x14ac:dyDescent="0.25">
      <c r="A19" s="9" t="s">
        <v>1230</v>
      </c>
      <c r="B19" s="9" t="s">
        <v>1233</v>
      </c>
      <c r="C19" s="9" t="s">
        <v>27</v>
      </c>
      <c r="D19" s="9" t="s">
        <v>249</v>
      </c>
      <c r="E19" s="10">
        <v>6950</v>
      </c>
      <c r="G19" s="10" t="s">
        <v>1244</v>
      </c>
      <c r="H19" s="10" t="s">
        <v>37</v>
      </c>
      <c r="I19" s="10">
        <v>5143</v>
      </c>
      <c r="J19" s="10" t="s">
        <v>66</v>
      </c>
      <c r="K19" s="10">
        <f t="shared" si="2"/>
        <v>1807</v>
      </c>
    </row>
    <row r="20" spans="1:21" x14ac:dyDescent="0.25">
      <c r="A20" s="9" t="s">
        <v>1230</v>
      </c>
      <c r="B20" s="9" t="s">
        <v>1234</v>
      </c>
      <c r="C20" s="9" t="s">
        <v>27</v>
      </c>
      <c r="D20" s="9" t="s">
        <v>249</v>
      </c>
      <c r="E20" s="10">
        <v>6950</v>
      </c>
      <c r="G20" s="10" t="s">
        <v>1244</v>
      </c>
      <c r="H20" s="10" t="s">
        <v>37</v>
      </c>
      <c r="I20" s="10">
        <v>5143</v>
      </c>
      <c r="J20" s="10" t="s">
        <v>66</v>
      </c>
      <c r="K20" s="10">
        <f t="shared" ref="K20" si="3">E20-I20</f>
        <v>1807</v>
      </c>
    </row>
    <row r="21" spans="1:21" x14ac:dyDescent="0.25">
      <c r="A21" s="5" t="s">
        <v>1235</v>
      </c>
      <c r="B21" s="5" t="s">
        <v>1238</v>
      </c>
      <c r="C21" s="5" t="s">
        <v>27</v>
      </c>
      <c r="D21" s="5" t="s">
        <v>33</v>
      </c>
      <c r="E21" s="4">
        <v>2700</v>
      </c>
      <c r="F21" s="5"/>
      <c r="G21" s="4" t="s">
        <v>433</v>
      </c>
      <c r="H21" s="4" t="s">
        <v>1235</v>
      </c>
      <c r="I21" s="4">
        <v>1350</v>
      </c>
      <c r="J21" s="4" t="s">
        <v>65</v>
      </c>
      <c r="K21" s="4">
        <f>E21-I21</f>
        <v>1350</v>
      </c>
      <c r="L21" s="5"/>
    </row>
    <row r="22" spans="1:21" x14ac:dyDescent="0.25">
      <c r="H22" s="10"/>
      <c r="J22" s="10"/>
    </row>
    <row r="23" spans="1:21" x14ac:dyDescent="0.25">
      <c r="H23" s="10"/>
      <c r="J23" s="10"/>
    </row>
    <row r="24" spans="1:21" x14ac:dyDescent="0.25">
      <c r="H24" s="10"/>
      <c r="J24" s="10"/>
    </row>
    <row r="25" spans="1:21" x14ac:dyDescent="0.25">
      <c r="F25" s="16"/>
    </row>
    <row r="26" spans="1:21" s="11" customFormat="1" x14ac:dyDescent="0.25">
      <c r="E26" s="12"/>
      <c r="F26" s="17"/>
      <c r="G26" s="12"/>
      <c r="I26" s="12"/>
      <c r="K26" s="12"/>
    </row>
    <row r="27" spans="1:21" x14ac:dyDescent="0.25">
      <c r="F27" s="16"/>
    </row>
    <row r="28" spans="1:21" x14ac:dyDescent="0.25">
      <c r="A28" s="21" t="s">
        <v>1240</v>
      </c>
      <c r="B28" s="21" t="s">
        <v>1062</v>
      </c>
      <c r="C28" s="22">
        <v>3500</v>
      </c>
      <c r="H28" s="10"/>
      <c r="J28" s="10"/>
    </row>
    <row r="29" spans="1:21" s="10" customFormat="1" x14ac:dyDescent="0.25">
      <c r="A29" s="21" t="s">
        <v>1240</v>
      </c>
      <c r="B29" s="21" t="s">
        <v>1063</v>
      </c>
      <c r="C29" s="22">
        <v>4000</v>
      </c>
      <c r="D29" s="9"/>
      <c r="F29" s="16"/>
      <c r="H29" s="9"/>
      <c r="J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1" s="10" customFormat="1" x14ac:dyDescent="0.25">
      <c r="A30" s="21" t="s">
        <v>1241</v>
      </c>
      <c r="B30" s="21" t="s">
        <v>1062</v>
      </c>
      <c r="C30" s="22">
        <v>3500</v>
      </c>
      <c r="D30" s="9"/>
      <c r="F30" s="16"/>
      <c r="H30" s="9"/>
      <c r="J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 s="10" customFormat="1" x14ac:dyDescent="0.25">
      <c r="A31" s="21" t="s">
        <v>1241</v>
      </c>
      <c r="B31" s="21" t="s">
        <v>1063</v>
      </c>
      <c r="C31" s="22">
        <v>4000</v>
      </c>
      <c r="D31" s="9"/>
      <c r="F31" s="16"/>
      <c r="H31" s="16"/>
      <c r="J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1" s="10" customFormat="1" x14ac:dyDescent="0.25">
      <c r="A32" s="21" t="s">
        <v>1242</v>
      </c>
      <c r="B32" s="21" t="s">
        <v>206</v>
      </c>
      <c r="C32" s="22">
        <v>6300</v>
      </c>
      <c r="D32" s="9"/>
      <c r="F32" s="9"/>
      <c r="H32" s="9"/>
      <c r="J32" s="9"/>
    </row>
    <row r="33" spans="1:10" s="10" customFormat="1" x14ac:dyDescent="0.25">
      <c r="A33" s="19" t="s">
        <v>1241</v>
      </c>
      <c r="B33" s="19" t="s">
        <v>648</v>
      </c>
      <c r="C33" s="20">
        <v>1000</v>
      </c>
      <c r="D33" s="9"/>
      <c r="F33" s="9"/>
      <c r="H33" s="9"/>
      <c r="J33" s="9"/>
    </row>
    <row r="34" spans="1:10" s="10" customFormat="1" x14ac:dyDescent="0.25">
      <c r="A34" s="19" t="s">
        <v>1241</v>
      </c>
      <c r="B34" s="19" t="s">
        <v>1026</v>
      </c>
      <c r="C34" s="20">
        <v>3000</v>
      </c>
      <c r="D34" s="9"/>
      <c r="F34" s="9"/>
      <c r="H34" s="9"/>
      <c r="J34" s="9"/>
    </row>
    <row r="35" spans="1:10" s="10" customFormat="1" x14ac:dyDescent="0.25">
      <c r="A35" s="21" t="s">
        <v>1241</v>
      </c>
      <c r="B35" s="5" t="s">
        <v>72</v>
      </c>
      <c r="C35" s="4">
        <v>550</v>
      </c>
      <c r="D35" s="9"/>
      <c r="F35" s="9"/>
      <c r="H35" s="9"/>
      <c r="J35" s="9"/>
    </row>
    <row r="36" spans="1:10" s="10" customFormat="1" x14ac:dyDescent="0.25">
      <c r="A36" s="19"/>
      <c r="B36" s="19"/>
      <c r="C36" s="20"/>
      <c r="D36" s="9"/>
      <c r="F36" s="9"/>
      <c r="H36" s="9"/>
      <c r="J36" s="9"/>
    </row>
    <row r="37" spans="1:10" s="10" customFormat="1" x14ac:dyDescent="0.25">
      <c r="A37" s="9"/>
      <c r="B37" s="19"/>
      <c r="C37" s="20"/>
      <c r="D37" s="9"/>
      <c r="F37" s="9"/>
      <c r="H37" s="9"/>
      <c r="J37" s="9"/>
    </row>
    <row r="38" spans="1:10" s="10" customFormat="1" x14ac:dyDescent="0.25">
      <c r="A38" s="9"/>
      <c r="B38" s="9"/>
      <c r="D38" s="9"/>
      <c r="F38" s="9"/>
      <c r="H38" s="9"/>
      <c r="J38" s="9"/>
    </row>
    <row r="39" spans="1:10" s="10" customFormat="1" x14ac:dyDescent="0.25">
      <c r="A39" s="9"/>
      <c r="B39" s="9"/>
      <c r="D39" s="9"/>
      <c r="F39" s="9"/>
    </row>
    <row r="40" spans="1:10" s="10" customFormat="1" x14ac:dyDescent="0.25">
      <c r="A40" s="9"/>
      <c r="B40" s="9"/>
      <c r="D40" s="9"/>
      <c r="F40" s="9"/>
    </row>
    <row r="41" spans="1:10" s="10" customFormat="1" x14ac:dyDescent="0.25">
      <c r="A41" s="9"/>
      <c r="B41" s="9"/>
      <c r="D41" s="9"/>
      <c r="F41" s="9"/>
    </row>
    <row r="42" spans="1:10" s="10" customFormat="1" x14ac:dyDescent="0.25">
      <c r="A42" s="9"/>
      <c r="B42" s="9"/>
      <c r="D42" s="9"/>
      <c r="F42" s="9"/>
    </row>
    <row r="43" spans="1:10" s="10" customFormat="1" x14ac:dyDescent="0.25">
      <c r="A43" s="9"/>
      <c r="B43" s="9"/>
      <c r="C43" s="9"/>
      <c r="D43" s="9"/>
      <c r="F43" s="9"/>
    </row>
    <row r="44" spans="1:10" s="10" customFormat="1" x14ac:dyDescent="0.25"/>
    <row r="45" spans="1:10" s="10" customFormat="1" x14ac:dyDescent="0.25"/>
    <row r="46" spans="1:10" s="10" customFormat="1" x14ac:dyDescent="0.25"/>
    <row r="47" spans="1:10" s="10" customFormat="1" x14ac:dyDescent="0.25"/>
    <row r="48" spans="1:10" s="10" customFormat="1" x14ac:dyDescent="0.25"/>
    <row r="49" spans="8:10" s="10" customFormat="1" x14ac:dyDescent="0.25"/>
    <row r="50" spans="8:10" s="10" customFormat="1" x14ac:dyDescent="0.25"/>
    <row r="51" spans="8:10" s="10" customFormat="1" x14ac:dyDescent="0.25">
      <c r="H51" s="9"/>
      <c r="J51" s="9"/>
    </row>
    <row r="52" spans="8:10" s="10" customFormat="1" x14ac:dyDescent="0.25">
      <c r="H52" s="9"/>
      <c r="J52" s="9"/>
    </row>
    <row r="53" spans="8:10" s="10" customFormat="1" x14ac:dyDescent="0.25">
      <c r="H53" s="9"/>
      <c r="J53" s="9"/>
    </row>
    <row r="54" spans="8:10" s="10" customFormat="1" x14ac:dyDescent="0.25">
      <c r="H54" s="9"/>
      <c r="J54" s="9"/>
    </row>
    <row r="55" spans="8:10" s="10" customFormat="1" x14ac:dyDescent="0.25">
      <c r="H55" s="9"/>
      <c r="J55" s="9"/>
    </row>
    <row r="56" spans="8:10" s="10" customFormat="1" x14ac:dyDescent="0.25">
      <c r="H56" s="9"/>
      <c r="J56" s="9"/>
    </row>
    <row r="57" spans="8:10" s="10" customFormat="1" x14ac:dyDescent="0.25">
      <c r="H57" s="9"/>
      <c r="J57" s="9"/>
    </row>
    <row r="58" spans="8:10" s="10" customFormat="1" x14ac:dyDescent="0.25">
      <c r="H58" s="9"/>
      <c r="J58" s="9"/>
    </row>
    <row r="59" spans="8:10" s="10" customFormat="1" x14ac:dyDescent="0.25">
      <c r="H59" s="9"/>
      <c r="J59" s="9"/>
    </row>
    <row r="60" spans="8:10" s="10" customFormat="1" x14ac:dyDescent="0.25">
      <c r="H60" s="9"/>
      <c r="J60" s="9"/>
    </row>
    <row r="61" spans="8:10" s="10" customFormat="1" x14ac:dyDescent="0.25">
      <c r="H61" s="9"/>
      <c r="J61" s="9"/>
    </row>
    <row r="62" spans="8:10" s="10" customFormat="1" x14ac:dyDescent="0.25">
      <c r="H62" s="9"/>
      <c r="J62" s="9"/>
    </row>
    <row r="63" spans="8:10" s="10" customFormat="1" x14ac:dyDescent="0.25">
      <c r="H63" s="9"/>
      <c r="J63" s="9"/>
    </row>
    <row r="64" spans="8:10" s="10" customFormat="1" x14ac:dyDescent="0.25">
      <c r="H64" s="9"/>
      <c r="J64" s="9"/>
    </row>
    <row r="65" spans="1:11" s="11" customFormat="1" x14ac:dyDescent="0.25">
      <c r="C65" s="12"/>
      <c r="E65" s="12"/>
      <c r="G65" s="12"/>
      <c r="I65" s="12"/>
      <c r="K65" s="12"/>
    </row>
    <row r="66" spans="1:11" x14ac:dyDescent="0.25">
      <c r="C66" s="10"/>
    </row>
    <row r="67" spans="1:11" x14ac:dyDescent="0.25">
      <c r="A67" s="13"/>
      <c r="C67" s="10"/>
    </row>
    <row r="68" spans="1:11" x14ac:dyDescent="0.25">
      <c r="C68" s="10"/>
    </row>
    <row r="69" spans="1:11" x14ac:dyDescent="0.25">
      <c r="C69" s="10"/>
    </row>
    <row r="70" spans="1:11" x14ac:dyDescent="0.25">
      <c r="C70" s="10"/>
    </row>
    <row r="71" spans="1:11" x14ac:dyDescent="0.25">
      <c r="C71" s="10"/>
    </row>
    <row r="72" spans="1:11" x14ac:dyDescent="0.25">
      <c r="C72" s="10"/>
    </row>
    <row r="73" spans="1:11" x14ac:dyDescent="0.25">
      <c r="C73" s="10"/>
    </row>
    <row r="74" spans="1:11" x14ac:dyDescent="0.25">
      <c r="C74" s="10"/>
    </row>
    <row r="75" spans="1:11" x14ac:dyDescent="0.25">
      <c r="C75" s="10"/>
    </row>
    <row r="76" spans="1:11" x14ac:dyDescent="0.25">
      <c r="C76" s="10"/>
    </row>
    <row r="77" spans="1:11" x14ac:dyDescent="0.25">
      <c r="C77" s="10"/>
    </row>
    <row r="78" spans="1:11" x14ac:dyDescent="0.25">
      <c r="C78" s="10"/>
    </row>
    <row r="79" spans="1:11" x14ac:dyDescent="0.25">
      <c r="C79" s="10"/>
    </row>
    <row r="80" spans="1:11" x14ac:dyDescent="0.25"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1048549" spans="1:21" s="10" customFormat="1" x14ac:dyDescent="0.25">
      <c r="A1048549" s="9"/>
      <c r="B1048549" s="9"/>
      <c r="C1048549" s="9"/>
      <c r="D1048549" s="9"/>
      <c r="F1048549" s="9"/>
      <c r="H1048549" s="9"/>
      <c r="L1048549" s="9"/>
      <c r="M1048549" s="9"/>
      <c r="N1048549" s="9"/>
      <c r="O1048549" s="9"/>
      <c r="P1048549" s="9"/>
      <c r="Q1048549" s="9"/>
      <c r="R1048549" s="9"/>
      <c r="S1048549" s="9"/>
      <c r="T1048549" s="9"/>
      <c r="U1048549" s="9"/>
    </row>
  </sheetData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1048552"/>
  <sheetViews>
    <sheetView workbookViewId="0">
      <pane ySplit="3" topLeftCell="A16" activePane="bottomLeft" state="frozen"/>
      <selection activeCell="K26" activeCellId="1" sqref="K29:K30 K26"/>
      <selection pane="bottomLeft" activeCell="A35" sqref="A35:C35"/>
    </sheetView>
  </sheetViews>
  <sheetFormatPr baseColWidth="10" defaultColWidth="10.7109375" defaultRowHeight="15" x14ac:dyDescent="0.25"/>
  <cols>
    <col min="1" max="1" width="22.7109375" style="9" customWidth="1"/>
    <col min="2" max="2" width="68.85546875" style="9" customWidth="1"/>
    <col min="3" max="3" width="22.42578125" style="9" customWidth="1"/>
    <col min="4" max="4" width="37.5703125" style="9" customWidth="1"/>
    <col min="5" max="5" width="10.7109375" style="10"/>
    <col min="6" max="6" width="6.140625" style="9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3" s="11" customFormat="1" x14ac:dyDescent="0.25">
      <c r="A1" s="11" t="s">
        <v>0</v>
      </c>
      <c r="E1" s="12"/>
      <c r="G1" s="12"/>
      <c r="I1" s="12"/>
    </row>
    <row r="3" spans="1:13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12" t="s">
        <v>13</v>
      </c>
    </row>
    <row r="4" spans="1:13" x14ac:dyDescent="0.25">
      <c r="A4" s="27" t="s">
        <v>1239</v>
      </c>
      <c r="B4" s="5" t="s">
        <v>479</v>
      </c>
      <c r="C4" s="5" t="s">
        <v>16</v>
      </c>
      <c r="D4" s="5" t="s">
        <v>33</v>
      </c>
      <c r="E4" s="4">
        <v>250</v>
      </c>
      <c r="F4" s="5"/>
      <c r="G4" s="4" t="s">
        <v>37</v>
      </c>
      <c r="H4" s="4" t="s">
        <v>37</v>
      </c>
      <c r="I4" s="4">
        <v>0</v>
      </c>
      <c r="J4" s="4" t="s">
        <v>37</v>
      </c>
      <c r="K4" s="4">
        <f t="shared" ref="K4:K20" si="0">E4-I4</f>
        <v>250</v>
      </c>
      <c r="L4" s="5"/>
    </row>
    <row r="5" spans="1:13" x14ac:dyDescent="0.25">
      <c r="A5" s="5" t="s">
        <v>1239</v>
      </c>
      <c r="B5" s="5" t="s">
        <v>1243</v>
      </c>
      <c r="C5" s="5" t="s">
        <v>16</v>
      </c>
      <c r="D5" s="5" t="s">
        <v>36</v>
      </c>
      <c r="E5" s="4">
        <v>750</v>
      </c>
      <c r="F5" s="5"/>
      <c r="G5" s="4" t="s">
        <v>37</v>
      </c>
      <c r="H5" s="4" t="s">
        <v>37</v>
      </c>
      <c r="I5" s="4">
        <v>0</v>
      </c>
      <c r="J5" s="4" t="s">
        <v>37</v>
      </c>
      <c r="K5" s="4">
        <f t="shared" si="0"/>
        <v>750</v>
      </c>
      <c r="L5" s="5"/>
    </row>
    <row r="6" spans="1:13" x14ac:dyDescent="0.25">
      <c r="A6" s="5" t="s">
        <v>1245</v>
      </c>
      <c r="B6" s="5" t="s">
        <v>1246</v>
      </c>
      <c r="C6" s="5" t="s">
        <v>27</v>
      </c>
      <c r="D6" s="5" t="s">
        <v>33</v>
      </c>
      <c r="E6" s="4">
        <v>850</v>
      </c>
      <c r="F6" s="5"/>
      <c r="G6" s="4" t="s">
        <v>37</v>
      </c>
      <c r="H6" s="4" t="s">
        <v>37</v>
      </c>
      <c r="I6" s="4">
        <v>0</v>
      </c>
      <c r="J6" s="4" t="s">
        <v>37</v>
      </c>
      <c r="K6" s="4">
        <f t="shared" ref="K6" si="1">E6-I6</f>
        <v>850</v>
      </c>
      <c r="L6" s="5"/>
    </row>
    <row r="7" spans="1:13" x14ac:dyDescent="0.25">
      <c r="A7" s="5" t="s">
        <v>1245</v>
      </c>
      <c r="B7" s="5" t="s">
        <v>1247</v>
      </c>
      <c r="C7" s="5" t="s">
        <v>27</v>
      </c>
      <c r="D7" s="5" t="s">
        <v>33</v>
      </c>
      <c r="E7" s="4">
        <v>750</v>
      </c>
      <c r="F7" s="5"/>
      <c r="G7" s="4" t="s">
        <v>37</v>
      </c>
      <c r="H7" s="4" t="s">
        <v>37</v>
      </c>
      <c r="I7" s="4">
        <v>0</v>
      </c>
      <c r="J7" s="4" t="s">
        <v>37</v>
      </c>
      <c r="K7" s="4">
        <f t="shared" ref="K7" si="2">E7-I7</f>
        <v>750</v>
      </c>
      <c r="L7" s="5"/>
    </row>
    <row r="8" spans="1:13" x14ac:dyDescent="0.25">
      <c r="A8" s="5" t="s">
        <v>1245</v>
      </c>
      <c r="B8" s="5" t="s">
        <v>1248</v>
      </c>
      <c r="C8" s="5" t="s">
        <v>27</v>
      </c>
      <c r="D8" s="5" t="s">
        <v>33</v>
      </c>
      <c r="E8" s="4">
        <v>1300</v>
      </c>
      <c r="F8" s="5"/>
      <c r="G8" s="4" t="s">
        <v>37</v>
      </c>
      <c r="H8" s="4" t="s">
        <v>37</v>
      </c>
      <c r="I8" s="4">
        <v>0</v>
      </c>
      <c r="J8" s="4" t="s">
        <v>37</v>
      </c>
      <c r="K8" s="4">
        <f t="shared" ref="K8" si="3">E8-I8</f>
        <v>1300</v>
      </c>
      <c r="L8" s="5"/>
    </row>
    <row r="9" spans="1:13" x14ac:dyDescent="0.25">
      <c r="A9" s="5" t="s">
        <v>1249</v>
      </c>
      <c r="B9" s="5" t="s">
        <v>1250</v>
      </c>
      <c r="C9" s="5" t="s">
        <v>27</v>
      </c>
      <c r="D9" s="5" t="s">
        <v>33</v>
      </c>
      <c r="E9" s="4">
        <v>1800</v>
      </c>
      <c r="F9" s="5"/>
      <c r="G9" s="4" t="s">
        <v>1251</v>
      </c>
      <c r="H9" s="4" t="s">
        <v>1249</v>
      </c>
      <c r="I9" s="4">
        <v>600</v>
      </c>
      <c r="J9" s="4" t="s">
        <v>66</v>
      </c>
      <c r="K9" s="4">
        <f t="shared" si="0"/>
        <v>1200</v>
      </c>
      <c r="L9" s="5"/>
    </row>
    <row r="10" spans="1:13" x14ac:dyDescent="0.25">
      <c r="A10" s="5" t="s">
        <v>1249</v>
      </c>
      <c r="B10" s="5" t="s">
        <v>1252</v>
      </c>
      <c r="C10" s="5" t="s">
        <v>27</v>
      </c>
      <c r="D10" s="5" t="s">
        <v>33</v>
      </c>
      <c r="E10" s="4">
        <v>1300</v>
      </c>
      <c r="F10" s="5"/>
      <c r="G10" s="4" t="s">
        <v>1253</v>
      </c>
      <c r="H10" s="4" t="s">
        <v>1249</v>
      </c>
      <c r="I10" s="4">
        <v>450</v>
      </c>
      <c r="J10" s="4" t="s">
        <v>66</v>
      </c>
      <c r="K10" s="4">
        <f t="shared" si="0"/>
        <v>850</v>
      </c>
      <c r="L10" s="5"/>
    </row>
    <row r="11" spans="1:13" x14ac:dyDescent="0.25">
      <c r="A11" s="5" t="s">
        <v>1249</v>
      </c>
      <c r="B11" s="5" t="s">
        <v>1254</v>
      </c>
      <c r="C11" s="5" t="s">
        <v>27</v>
      </c>
      <c r="D11" s="5" t="s">
        <v>33</v>
      </c>
      <c r="E11" s="4">
        <v>500</v>
      </c>
      <c r="F11" s="5"/>
      <c r="G11" s="4" t="s">
        <v>37</v>
      </c>
      <c r="H11" s="4" t="s">
        <v>37</v>
      </c>
      <c r="I11" s="4">
        <v>0</v>
      </c>
      <c r="J11" s="4" t="s">
        <v>37</v>
      </c>
      <c r="K11" s="4">
        <f t="shared" si="0"/>
        <v>500</v>
      </c>
      <c r="L11" s="5"/>
    </row>
    <row r="12" spans="1:13" x14ac:dyDescent="0.25">
      <c r="A12" s="5" t="s">
        <v>1249</v>
      </c>
      <c r="B12" s="5" t="s">
        <v>1255</v>
      </c>
      <c r="C12" s="5" t="s">
        <v>27</v>
      </c>
      <c r="D12" s="5" t="s">
        <v>33</v>
      </c>
      <c r="E12" s="4">
        <v>750</v>
      </c>
      <c r="F12" s="5"/>
      <c r="G12" s="4" t="s">
        <v>37</v>
      </c>
      <c r="H12" s="4" t="s">
        <v>37</v>
      </c>
      <c r="I12" s="4">
        <v>300</v>
      </c>
      <c r="J12" s="4" t="s">
        <v>403</v>
      </c>
      <c r="K12" s="4">
        <f t="shared" si="0"/>
        <v>450</v>
      </c>
      <c r="L12" s="5"/>
    </row>
    <row r="13" spans="1:13" x14ac:dyDescent="0.25">
      <c r="A13" s="5" t="s">
        <v>1249</v>
      </c>
      <c r="B13" s="5" t="s">
        <v>1256</v>
      </c>
      <c r="C13" s="5" t="s">
        <v>27</v>
      </c>
      <c r="D13" s="5" t="s">
        <v>33</v>
      </c>
      <c r="E13" s="4">
        <v>600</v>
      </c>
      <c r="F13" s="5"/>
      <c r="G13" s="4" t="s">
        <v>37</v>
      </c>
      <c r="H13" s="4" t="s">
        <v>37</v>
      </c>
      <c r="I13" s="4">
        <v>300</v>
      </c>
      <c r="J13" s="4" t="s">
        <v>403</v>
      </c>
      <c r="K13" s="4">
        <f t="shared" ref="K13" si="4">E13-I13</f>
        <v>300</v>
      </c>
      <c r="L13" s="5"/>
    </row>
    <row r="14" spans="1:13" x14ac:dyDescent="0.25">
      <c r="A14" s="5" t="s">
        <v>1257</v>
      </c>
      <c r="B14" s="5" t="s">
        <v>1258</v>
      </c>
      <c r="C14" s="5" t="s">
        <v>27</v>
      </c>
      <c r="D14" s="5" t="s">
        <v>33</v>
      </c>
      <c r="E14" s="4">
        <v>1400</v>
      </c>
      <c r="F14" s="5"/>
      <c r="G14" s="4" t="s">
        <v>1259</v>
      </c>
      <c r="H14" s="4" t="s">
        <v>37</v>
      </c>
      <c r="I14" s="4">
        <v>500</v>
      </c>
      <c r="J14" s="4" t="s">
        <v>66</v>
      </c>
      <c r="K14" s="4">
        <f t="shared" si="0"/>
        <v>900</v>
      </c>
      <c r="L14" s="5"/>
    </row>
    <row r="15" spans="1:13" x14ac:dyDescent="0.25">
      <c r="A15" s="5" t="s">
        <v>1257</v>
      </c>
      <c r="B15" s="5" t="s">
        <v>1260</v>
      </c>
      <c r="C15" s="5" t="s">
        <v>27</v>
      </c>
      <c r="D15" s="5" t="s">
        <v>33</v>
      </c>
      <c r="E15" s="4">
        <v>3900</v>
      </c>
      <c r="F15" s="5"/>
      <c r="G15" s="4" t="s">
        <v>1261</v>
      </c>
      <c r="H15" s="4" t="s">
        <v>1257</v>
      </c>
      <c r="I15" s="4">
        <v>2733</v>
      </c>
      <c r="J15" s="4" t="s">
        <v>1262</v>
      </c>
      <c r="K15" s="4">
        <f t="shared" si="0"/>
        <v>1167</v>
      </c>
      <c r="L15" s="5"/>
      <c r="M15" s="9" t="s">
        <v>1228</v>
      </c>
    </row>
    <row r="16" spans="1:13" x14ac:dyDescent="0.25">
      <c r="A16" s="5" t="s">
        <v>1263</v>
      </c>
      <c r="B16" s="5" t="s">
        <v>1264</v>
      </c>
      <c r="C16" s="5" t="s">
        <v>27</v>
      </c>
      <c r="D16" s="5" t="s">
        <v>33</v>
      </c>
      <c r="E16" s="4">
        <v>1500</v>
      </c>
      <c r="F16" s="5"/>
      <c r="G16" s="4" t="s">
        <v>1253</v>
      </c>
      <c r="H16" s="4" t="s">
        <v>1249</v>
      </c>
      <c r="I16" s="4">
        <v>450</v>
      </c>
      <c r="J16" s="4" t="s">
        <v>66</v>
      </c>
      <c r="K16" s="4">
        <f t="shared" ref="K16" si="5">E16-I16</f>
        <v>1050</v>
      </c>
      <c r="L16" s="5"/>
    </row>
    <row r="17" spans="1:21" x14ac:dyDescent="0.25">
      <c r="A17" s="5" t="s">
        <v>1265</v>
      </c>
      <c r="B17" s="5" t="s">
        <v>1266</v>
      </c>
      <c r="C17" s="5" t="s">
        <v>27</v>
      </c>
      <c r="D17" s="5" t="s">
        <v>33</v>
      </c>
      <c r="E17" s="4">
        <v>2250</v>
      </c>
      <c r="F17" s="5"/>
      <c r="G17" s="4" t="s">
        <v>37</v>
      </c>
      <c r="H17" s="4" t="s">
        <v>37</v>
      </c>
      <c r="I17" s="4">
        <v>600</v>
      </c>
      <c r="J17" s="4" t="s">
        <v>66</v>
      </c>
      <c r="K17" s="4">
        <f t="shared" si="0"/>
        <v>1650</v>
      </c>
      <c r="L17" s="5"/>
    </row>
    <row r="18" spans="1:21" x14ac:dyDescent="0.25">
      <c r="A18" s="5" t="s">
        <v>1265</v>
      </c>
      <c r="B18" s="5" t="s">
        <v>1267</v>
      </c>
      <c r="C18" s="5" t="s">
        <v>27</v>
      </c>
      <c r="D18" s="5" t="s">
        <v>33</v>
      </c>
      <c r="E18" s="4">
        <v>1400</v>
      </c>
      <c r="F18" s="5"/>
      <c r="G18" s="4" t="s">
        <v>37</v>
      </c>
      <c r="H18" s="4" t="s">
        <v>37</v>
      </c>
      <c r="I18" s="4">
        <v>0</v>
      </c>
      <c r="J18" s="4" t="s">
        <v>66</v>
      </c>
      <c r="K18" s="4">
        <f t="shared" si="0"/>
        <v>1400</v>
      </c>
      <c r="L18" s="5"/>
    </row>
    <row r="19" spans="1:21" x14ac:dyDescent="0.25">
      <c r="A19" s="5" t="s">
        <v>1265</v>
      </c>
      <c r="B19" s="5" t="s">
        <v>1268</v>
      </c>
      <c r="C19" s="5" t="s">
        <v>27</v>
      </c>
      <c r="D19" s="5" t="s">
        <v>33</v>
      </c>
      <c r="E19" s="4">
        <v>5500</v>
      </c>
      <c r="F19" s="5"/>
      <c r="G19" s="4" t="s">
        <v>37</v>
      </c>
      <c r="H19" s="4" t="s">
        <v>37</v>
      </c>
      <c r="I19" s="4">
        <v>0</v>
      </c>
      <c r="J19" s="4" t="s">
        <v>66</v>
      </c>
      <c r="K19" s="4">
        <f t="shared" ref="K19" si="6">E19-I19</f>
        <v>5500</v>
      </c>
      <c r="L19" s="5"/>
    </row>
    <row r="20" spans="1:21" x14ac:dyDescent="0.25">
      <c r="A20" s="5" t="s">
        <v>1269</v>
      </c>
      <c r="B20" s="5" t="s">
        <v>1270</v>
      </c>
      <c r="C20" s="5" t="s">
        <v>27</v>
      </c>
      <c r="D20" s="5" t="s">
        <v>33</v>
      </c>
      <c r="E20" s="4">
        <v>2250</v>
      </c>
      <c r="F20" s="5"/>
      <c r="G20" s="4" t="s">
        <v>37</v>
      </c>
      <c r="H20" s="4" t="s">
        <v>37</v>
      </c>
      <c r="I20" s="4">
        <v>300</v>
      </c>
      <c r="J20" s="4" t="s">
        <v>66</v>
      </c>
      <c r="K20" s="4">
        <f t="shared" si="0"/>
        <v>1950</v>
      </c>
      <c r="L20" s="5"/>
    </row>
    <row r="21" spans="1:21" x14ac:dyDescent="0.25">
      <c r="A21" s="5" t="s">
        <v>1269</v>
      </c>
      <c r="B21" s="5" t="s">
        <v>1271</v>
      </c>
      <c r="C21" s="5" t="s">
        <v>27</v>
      </c>
      <c r="D21" s="5" t="s">
        <v>33</v>
      </c>
      <c r="E21" s="4">
        <f>2900+600</f>
        <v>3500</v>
      </c>
      <c r="F21" s="5"/>
      <c r="G21" s="4" t="s">
        <v>1272</v>
      </c>
      <c r="H21" s="4" t="s">
        <v>1269</v>
      </c>
      <c r="I21" s="4">
        <v>2400</v>
      </c>
      <c r="J21" s="4" t="s">
        <v>66</v>
      </c>
      <c r="K21" s="4">
        <f t="shared" ref="K21:K26" si="7">E21-I21</f>
        <v>1100</v>
      </c>
      <c r="L21" s="5"/>
    </row>
    <row r="22" spans="1:21" x14ac:dyDescent="0.25">
      <c r="A22" s="5" t="s">
        <v>1269</v>
      </c>
      <c r="B22" s="5" t="s">
        <v>1273</v>
      </c>
      <c r="C22" s="5" t="s">
        <v>27</v>
      </c>
      <c r="D22" s="5" t="s">
        <v>33</v>
      </c>
      <c r="E22" s="4">
        <v>2300</v>
      </c>
      <c r="F22" s="5"/>
      <c r="G22" s="4" t="s">
        <v>1274</v>
      </c>
      <c r="H22" s="4" t="s">
        <v>1275</v>
      </c>
      <c r="I22" s="4">
        <v>1300</v>
      </c>
      <c r="J22" s="4" t="s">
        <v>66</v>
      </c>
      <c r="K22" s="4">
        <f t="shared" si="7"/>
        <v>1000</v>
      </c>
      <c r="L22" s="5"/>
    </row>
    <row r="23" spans="1:21" x14ac:dyDescent="0.25">
      <c r="A23" s="5" t="s">
        <v>1269</v>
      </c>
      <c r="B23" s="5" t="s">
        <v>1276</v>
      </c>
      <c r="C23" s="5" t="s">
        <v>27</v>
      </c>
      <c r="D23" s="5" t="s">
        <v>33</v>
      </c>
      <c r="E23" s="4">
        <v>2950</v>
      </c>
      <c r="F23" s="5"/>
      <c r="G23" s="4" t="s">
        <v>1274</v>
      </c>
      <c r="H23" s="4" t="s">
        <v>1275</v>
      </c>
      <c r="I23" s="4">
        <v>1885</v>
      </c>
      <c r="J23" s="4" t="s">
        <v>66</v>
      </c>
      <c r="K23" s="4">
        <f t="shared" si="7"/>
        <v>1065</v>
      </c>
      <c r="L23" s="5"/>
    </row>
    <row r="24" spans="1:21" x14ac:dyDescent="0.25">
      <c r="A24" s="9" t="s">
        <v>1275</v>
      </c>
      <c r="B24" s="9" t="s">
        <v>1277</v>
      </c>
      <c r="C24" s="9" t="s">
        <v>27</v>
      </c>
      <c r="D24" s="9" t="s">
        <v>33</v>
      </c>
      <c r="E24" s="10">
        <v>950</v>
      </c>
      <c r="G24" s="10" t="s">
        <v>37</v>
      </c>
      <c r="H24" s="10" t="s">
        <v>37</v>
      </c>
      <c r="I24" s="10">
        <v>0</v>
      </c>
      <c r="J24" s="10" t="s">
        <v>37</v>
      </c>
      <c r="K24" s="10">
        <f t="shared" si="7"/>
        <v>950</v>
      </c>
    </row>
    <row r="25" spans="1:21" x14ac:dyDescent="0.25">
      <c r="A25" s="9" t="s">
        <v>1275</v>
      </c>
      <c r="B25" s="9" t="s">
        <v>1278</v>
      </c>
      <c r="C25" s="9" t="s">
        <v>27</v>
      </c>
      <c r="D25" s="9" t="s">
        <v>36</v>
      </c>
      <c r="E25" s="10">
        <v>1400</v>
      </c>
      <c r="F25" s="16"/>
      <c r="G25" s="10" t="s">
        <v>37</v>
      </c>
      <c r="H25" s="9" t="s">
        <v>37</v>
      </c>
      <c r="I25" s="10">
        <v>0</v>
      </c>
      <c r="J25" s="9" t="s">
        <v>37</v>
      </c>
      <c r="K25" s="10">
        <f t="shared" si="7"/>
        <v>1400</v>
      </c>
    </row>
    <row r="26" spans="1:21" x14ac:dyDescent="0.25">
      <c r="A26" s="5" t="s">
        <v>1241</v>
      </c>
      <c r="B26" s="5" t="s">
        <v>1279</v>
      </c>
      <c r="C26" s="5" t="s">
        <v>27</v>
      </c>
      <c r="D26" s="5" t="s">
        <v>33</v>
      </c>
      <c r="E26" s="4">
        <f>550+850</f>
        <v>1400</v>
      </c>
      <c r="F26" s="18"/>
      <c r="G26" s="4" t="s">
        <v>37</v>
      </c>
      <c r="H26" s="5" t="s">
        <v>37</v>
      </c>
      <c r="I26" s="4">
        <v>0</v>
      </c>
      <c r="J26" s="5" t="s">
        <v>37</v>
      </c>
      <c r="K26" s="4">
        <f t="shared" si="7"/>
        <v>1400</v>
      </c>
      <c r="L26" s="5"/>
    </row>
    <row r="27" spans="1:21" x14ac:dyDescent="0.25">
      <c r="A27" s="5" t="s">
        <v>1241</v>
      </c>
      <c r="B27" s="5" t="s">
        <v>1280</v>
      </c>
      <c r="C27" s="5" t="s">
        <v>27</v>
      </c>
      <c r="D27" s="5" t="s">
        <v>33</v>
      </c>
      <c r="E27" s="4">
        <v>600</v>
      </c>
      <c r="F27" s="18"/>
      <c r="G27" s="4" t="s">
        <v>37</v>
      </c>
      <c r="H27" s="5" t="s">
        <v>37</v>
      </c>
      <c r="I27" s="4">
        <v>0</v>
      </c>
      <c r="J27" s="5" t="s">
        <v>37</v>
      </c>
      <c r="K27" s="4">
        <f t="shared" ref="K27" si="8">E27-I27</f>
        <v>600</v>
      </c>
      <c r="L27" s="5"/>
    </row>
    <row r="28" spans="1:21" x14ac:dyDescent="0.25">
      <c r="F28" s="16"/>
    </row>
    <row r="29" spans="1:21" s="11" customFormat="1" x14ac:dyDescent="0.25">
      <c r="E29" s="12"/>
      <c r="F29" s="17"/>
      <c r="G29" s="12"/>
      <c r="I29" s="12"/>
      <c r="K29" s="12"/>
    </row>
    <row r="30" spans="1:21" x14ac:dyDescent="0.25">
      <c r="F30" s="16"/>
    </row>
    <row r="31" spans="1:21" x14ac:dyDescent="0.25">
      <c r="A31" s="21" t="s">
        <v>1240</v>
      </c>
      <c r="B31" s="21" t="s">
        <v>1062</v>
      </c>
      <c r="C31" s="22">
        <v>3500</v>
      </c>
      <c r="H31" s="10"/>
      <c r="J31" s="10"/>
    </row>
    <row r="32" spans="1:21" s="10" customFormat="1" x14ac:dyDescent="0.25">
      <c r="A32" s="21" t="s">
        <v>1240</v>
      </c>
      <c r="B32" s="21" t="s">
        <v>1063</v>
      </c>
      <c r="C32" s="22">
        <v>4000</v>
      </c>
      <c r="D32" s="9"/>
      <c r="F32" s="16"/>
      <c r="H32" s="9"/>
      <c r="J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1" s="10" customFormat="1" x14ac:dyDescent="0.25">
      <c r="A33" s="21" t="s">
        <v>1241</v>
      </c>
      <c r="B33" s="21" t="s">
        <v>1062</v>
      </c>
      <c r="C33" s="22">
        <v>3500</v>
      </c>
      <c r="D33" s="9"/>
      <c r="F33" s="16"/>
      <c r="H33" s="9"/>
      <c r="J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s="10" customFormat="1" x14ac:dyDescent="0.25">
      <c r="A34" s="21" t="s">
        <v>1241</v>
      </c>
      <c r="B34" s="21" t="s">
        <v>1063</v>
      </c>
      <c r="C34" s="22">
        <v>4000</v>
      </c>
      <c r="D34" s="9"/>
      <c r="F34" s="16"/>
      <c r="H34" s="16"/>
      <c r="J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s="10" customFormat="1" x14ac:dyDescent="0.25">
      <c r="A35" s="21" t="s">
        <v>1242</v>
      </c>
      <c r="B35" s="21" t="s">
        <v>206</v>
      </c>
      <c r="C35" s="22">
        <v>7000</v>
      </c>
      <c r="D35" s="9"/>
      <c r="F35" s="9"/>
      <c r="H35" s="9"/>
      <c r="J35" s="9"/>
    </row>
    <row r="36" spans="1:21" s="10" customFormat="1" x14ac:dyDescent="0.25">
      <c r="A36" s="21" t="s">
        <v>1241</v>
      </c>
      <c r="B36" s="21" t="s">
        <v>648</v>
      </c>
      <c r="C36" s="22">
        <v>1000</v>
      </c>
      <c r="D36" s="9"/>
      <c r="F36" s="9"/>
      <c r="H36" s="9"/>
      <c r="J36" s="9"/>
    </row>
    <row r="37" spans="1:21" s="10" customFormat="1" x14ac:dyDescent="0.25">
      <c r="A37" s="19" t="s">
        <v>1241</v>
      </c>
      <c r="B37" s="19" t="s">
        <v>1026</v>
      </c>
      <c r="C37" s="20">
        <v>3000</v>
      </c>
      <c r="D37" s="9"/>
      <c r="F37" s="9"/>
      <c r="H37" s="9"/>
      <c r="J37" s="9"/>
    </row>
    <row r="38" spans="1:21" s="10" customFormat="1" x14ac:dyDescent="0.25">
      <c r="A38" s="21" t="s">
        <v>1241</v>
      </c>
      <c r="B38" s="5" t="s">
        <v>72</v>
      </c>
      <c r="C38" s="4">
        <v>550</v>
      </c>
      <c r="D38" s="9"/>
      <c r="F38" s="9"/>
      <c r="H38" s="9"/>
      <c r="J38" s="9"/>
    </row>
    <row r="39" spans="1:21" s="10" customFormat="1" x14ac:dyDescent="0.25">
      <c r="A39" s="19"/>
      <c r="B39" s="19"/>
      <c r="C39" s="20"/>
      <c r="D39" s="9"/>
      <c r="F39" s="9"/>
      <c r="H39" s="9"/>
      <c r="J39" s="9"/>
    </row>
    <row r="40" spans="1:21" s="10" customFormat="1" x14ac:dyDescent="0.25">
      <c r="A40" s="9"/>
      <c r="B40" s="19"/>
      <c r="C40" s="20"/>
      <c r="D40" s="9"/>
      <c r="F40" s="9"/>
      <c r="H40" s="9"/>
      <c r="J40" s="9"/>
    </row>
    <row r="41" spans="1:21" s="10" customFormat="1" x14ac:dyDescent="0.25">
      <c r="A41" s="9"/>
      <c r="B41" s="9"/>
      <c r="D41" s="9"/>
      <c r="F41" s="9"/>
      <c r="H41" s="9"/>
      <c r="J41" s="9"/>
    </row>
    <row r="42" spans="1:21" s="10" customFormat="1" x14ac:dyDescent="0.25">
      <c r="A42" s="9"/>
      <c r="B42" s="9"/>
      <c r="D42" s="9"/>
      <c r="F42" s="9"/>
    </row>
    <row r="43" spans="1:21" s="10" customFormat="1" x14ac:dyDescent="0.25">
      <c r="A43" s="9"/>
      <c r="B43" s="9"/>
      <c r="D43" s="9"/>
      <c r="F43" s="9"/>
    </row>
    <row r="44" spans="1:21" s="10" customFormat="1" x14ac:dyDescent="0.25">
      <c r="A44" s="9"/>
      <c r="B44" s="9"/>
      <c r="D44" s="9"/>
      <c r="F44" s="9"/>
    </row>
    <row r="45" spans="1:21" s="10" customFormat="1" x14ac:dyDescent="0.25">
      <c r="A45" s="9"/>
      <c r="B45" s="9"/>
      <c r="D45" s="9"/>
      <c r="F45" s="9"/>
    </row>
    <row r="46" spans="1:21" s="10" customFormat="1" x14ac:dyDescent="0.25">
      <c r="A46" s="9"/>
      <c r="B46" s="9"/>
      <c r="C46" s="9"/>
      <c r="D46" s="9"/>
      <c r="F46" s="9"/>
    </row>
    <row r="47" spans="1:21" s="10" customFormat="1" x14ac:dyDescent="0.25"/>
    <row r="48" spans="1:21" s="10" customFormat="1" x14ac:dyDescent="0.25"/>
    <row r="49" spans="8:10" s="10" customFormat="1" x14ac:dyDescent="0.25"/>
    <row r="50" spans="8:10" s="10" customFormat="1" x14ac:dyDescent="0.25"/>
    <row r="51" spans="8:10" s="10" customFormat="1" x14ac:dyDescent="0.25"/>
    <row r="52" spans="8:10" s="10" customFormat="1" x14ac:dyDescent="0.25"/>
    <row r="53" spans="8:10" s="10" customFormat="1" x14ac:dyDescent="0.25"/>
    <row r="54" spans="8:10" s="10" customFormat="1" x14ac:dyDescent="0.25">
      <c r="H54" s="9"/>
      <c r="J54" s="9"/>
    </row>
    <row r="55" spans="8:10" s="10" customFormat="1" x14ac:dyDescent="0.25">
      <c r="H55" s="9"/>
      <c r="J55" s="9"/>
    </row>
    <row r="56" spans="8:10" s="10" customFormat="1" x14ac:dyDescent="0.25">
      <c r="H56" s="9"/>
      <c r="J56" s="9"/>
    </row>
    <row r="57" spans="8:10" s="10" customFormat="1" x14ac:dyDescent="0.25">
      <c r="H57" s="9"/>
      <c r="J57" s="9"/>
    </row>
    <row r="58" spans="8:10" s="10" customFormat="1" x14ac:dyDescent="0.25">
      <c r="H58" s="9"/>
      <c r="J58" s="9"/>
    </row>
    <row r="59" spans="8:10" s="10" customFormat="1" x14ac:dyDescent="0.25">
      <c r="H59" s="9"/>
      <c r="J59" s="9"/>
    </row>
    <row r="60" spans="8:10" s="10" customFormat="1" x14ac:dyDescent="0.25">
      <c r="H60" s="9"/>
      <c r="J60" s="9"/>
    </row>
    <row r="61" spans="8:10" s="10" customFormat="1" x14ac:dyDescent="0.25">
      <c r="H61" s="9"/>
      <c r="J61" s="9"/>
    </row>
    <row r="62" spans="8:10" s="10" customFormat="1" x14ac:dyDescent="0.25">
      <c r="H62" s="9"/>
      <c r="J62" s="9"/>
    </row>
    <row r="63" spans="8:10" s="10" customFormat="1" x14ac:dyDescent="0.25">
      <c r="H63" s="9"/>
      <c r="J63" s="9"/>
    </row>
    <row r="64" spans="8:10" s="10" customFormat="1" x14ac:dyDescent="0.25">
      <c r="H64" s="9"/>
      <c r="J64" s="9"/>
    </row>
    <row r="65" spans="1:11" s="10" customFormat="1" x14ac:dyDescent="0.25">
      <c r="H65" s="9"/>
      <c r="J65" s="9"/>
    </row>
    <row r="66" spans="1:11" s="10" customFormat="1" x14ac:dyDescent="0.25">
      <c r="H66" s="9"/>
      <c r="J66" s="9"/>
    </row>
    <row r="67" spans="1:11" s="10" customFormat="1" x14ac:dyDescent="0.25">
      <c r="H67" s="9"/>
      <c r="J67" s="9"/>
    </row>
    <row r="68" spans="1:11" s="11" customFormat="1" x14ac:dyDescent="0.25">
      <c r="C68" s="12"/>
      <c r="E68" s="12"/>
      <c r="G68" s="12"/>
      <c r="I68" s="12"/>
      <c r="K68" s="12"/>
    </row>
    <row r="69" spans="1:11" x14ac:dyDescent="0.25">
      <c r="C69" s="10"/>
    </row>
    <row r="70" spans="1:11" x14ac:dyDescent="0.25">
      <c r="A70" s="13"/>
      <c r="C70" s="10"/>
    </row>
    <row r="71" spans="1:11" x14ac:dyDescent="0.25">
      <c r="C71" s="10"/>
    </row>
    <row r="72" spans="1:11" x14ac:dyDescent="0.25">
      <c r="C72" s="10"/>
    </row>
    <row r="73" spans="1:11" x14ac:dyDescent="0.25">
      <c r="C73" s="10"/>
    </row>
    <row r="74" spans="1:11" x14ac:dyDescent="0.25">
      <c r="C74" s="10"/>
    </row>
    <row r="75" spans="1:11" x14ac:dyDescent="0.25">
      <c r="C75" s="10"/>
    </row>
    <row r="76" spans="1:11" x14ac:dyDescent="0.25">
      <c r="C76" s="10"/>
    </row>
    <row r="77" spans="1:11" x14ac:dyDescent="0.25">
      <c r="C77" s="10"/>
    </row>
    <row r="78" spans="1:11" x14ac:dyDescent="0.25">
      <c r="C78" s="10"/>
    </row>
    <row r="79" spans="1:11" x14ac:dyDescent="0.25">
      <c r="C79" s="10"/>
    </row>
    <row r="80" spans="1:11" x14ac:dyDescent="0.25"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84" spans="3:3" x14ac:dyDescent="0.25">
      <c r="C84" s="10"/>
    </row>
    <row r="85" spans="3:3" x14ac:dyDescent="0.25">
      <c r="C85" s="10"/>
    </row>
    <row r="86" spans="3:3" x14ac:dyDescent="0.25">
      <c r="C86" s="10"/>
    </row>
    <row r="1048552" spans="1:21" s="10" customFormat="1" x14ac:dyDescent="0.25">
      <c r="A1048552" s="9"/>
      <c r="B1048552" s="9"/>
      <c r="C1048552" s="9"/>
      <c r="D1048552" s="9"/>
      <c r="F1048552" s="9"/>
      <c r="H1048552" s="9"/>
      <c r="L1048552" s="9"/>
      <c r="M1048552" s="9"/>
      <c r="N1048552" s="9"/>
      <c r="O1048552" s="9"/>
      <c r="P1048552" s="9"/>
      <c r="Q1048552" s="9"/>
      <c r="R1048552" s="9"/>
      <c r="S1048552" s="9"/>
      <c r="T1048552" s="9"/>
      <c r="U1048552" s="9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1048559"/>
  <sheetViews>
    <sheetView workbookViewId="0">
      <pane ySplit="3" topLeftCell="A19" activePane="bottomLeft" state="frozen"/>
      <selection activeCell="K26" activeCellId="1" sqref="K29:K30 K26"/>
      <selection pane="bottomLeft" activeCell="A27" sqref="A27"/>
    </sheetView>
  </sheetViews>
  <sheetFormatPr baseColWidth="10" defaultColWidth="10.7109375" defaultRowHeight="15" x14ac:dyDescent="0.25"/>
  <cols>
    <col min="1" max="1" width="22.7109375" style="9" customWidth="1"/>
    <col min="2" max="2" width="68.85546875" style="9" customWidth="1"/>
    <col min="3" max="3" width="22.42578125" style="9" customWidth="1"/>
    <col min="4" max="4" width="37.5703125" style="9" customWidth="1"/>
    <col min="5" max="5" width="10.7109375" style="10"/>
    <col min="6" max="6" width="6.140625" style="9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3" s="11" customFormat="1" x14ac:dyDescent="0.25">
      <c r="A1" s="11" t="s">
        <v>0</v>
      </c>
      <c r="E1" s="12"/>
      <c r="G1" s="12"/>
      <c r="I1" s="12"/>
    </row>
    <row r="3" spans="1:13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12" t="s">
        <v>13</v>
      </c>
    </row>
    <row r="4" spans="1:13" x14ac:dyDescent="0.25">
      <c r="A4" s="27" t="s">
        <v>1239</v>
      </c>
      <c r="B4" s="5" t="s">
        <v>479</v>
      </c>
      <c r="C4" s="5" t="s">
        <v>16</v>
      </c>
      <c r="D4" s="5" t="s">
        <v>33</v>
      </c>
      <c r="E4" s="4">
        <v>250</v>
      </c>
      <c r="F4" s="5"/>
      <c r="G4" s="4" t="s">
        <v>37</v>
      </c>
      <c r="H4" s="4" t="s">
        <v>37</v>
      </c>
      <c r="I4" s="4">
        <v>0</v>
      </c>
      <c r="J4" s="4" t="s">
        <v>37</v>
      </c>
      <c r="K4" s="4">
        <f t="shared" ref="K4:K29" si="0">E4-I4</f>
        <v>250</v>
      </c>
      <c r="L4" s="5"/>
    </row>
    <row r="5" spans="1:13" x14ac:dyDescent="0.25">
      <c r="A5" s="5" t="s">
        <v>1239</v>
      </c>
      <c r="B5" s="5" t="s">
        <v>1243</v>
      </c>
      <c r="C5" s="5" t="s">
        <v>16</v>
      </c>
      <c r="D5" s="5" t="s">
        <v>36</v>
      </c>
      <c r="E5" s="4">
        <v>750</v>
      </c>
      <c r="F5" s="5"/>
      <c r="G5" s="4" t="s">
        <v>37</v>
      </c>
      <c r="H5" s="4" t="s">
        <v>37</v>
      </c>
      <c r="I5" s="4">
        <v>0</v>
      </c>
      <c r="J5" s="4" t="s">
        <v>37</v>
      </c>
      <c r="K5" s="4">
        <f t="shared" si="0"/>
        <v>750</v>
      </c>
      <c r="L5" s="5"/>
    </row>
    <row r="6" spans="1:13" x14ac:dyDescent="0.25">
      <c r="A6" s="5" t="s">
        <v>1245</v>
      </c>
      <c r="B6" s="5" t="s">
        <v>1246</v>
      </c>
      <c r="C6" s="5" t="s">
        <v>27</v>
      </c>
      <c r="D6" s="5" t="s">
        <v>33</v>
      </c>
      <c r="E6" s="4">
        <v>850</v>
      </c>
      <c r="F6" s="5"/>
      <c r="G6" s="4" t="s">
        <v>37</v>
      </c>
      <c r="H6" s="4" t="s">
        <v>37</v>
      </c>
      <c r="I6" s="4">
        <v>0</v>
      </c>
      <c r="J6" s="4" t="s">
        <v>37</v>
      </c>
      <c r="K6" s="4">
        <f t="shared" si="0"/>
        <v>850</v>
      </c>
      <c r="L6" s="5"/>
    </row>
    <row r="7" spans="1:13" x14ac:dyDescent="0.25">
      <c r="A7" s="5" t="s">
        <v>1245</v>
      </c>
      <c r="B7" s="5" t="s">
        <v>1247</v>
      </c>
      <c r="C7" s="5" t="s">
        <v>27</v>
      </c>
      <c r="D7" s="5" t="s">
        <v>33</v>
      </c>
      <c r="E7" s="4">
        <v>750</v>
      </c>
      <c r="F7" s="5"/>
      <c r="G7" s="4" t="s">
        <v>37</v>
      </c>
      <c r="H7" s="4" t="s">
        <v>37</v>
      </c>
      <c r="I7" s="4">
        <v>0</v>
      </c>
      <c r="J7" s="4" t="s">
        <v>37</v>
      </c>
      <c r="K7" s="4">
        <f t="shared" si="0"/>
        <v>750</v>
      </c>
      <c r="L7" s="5"/>
    </row>
    <row r="8" spans="1:13" x14ac:dyDescent="0.25">
      <c r="A8" s="5" t="s">
        <v>1245</v>
      </c>
      <c r="B8" s="5" t="s">
        <v>1248</v>
      </c>
      <c r="C8" s="5" t="s">
        <v>27</v>
      </c>
      <c r="D8" s="5" t="s">
        <v>33</v>
      </c>
      <c r="E8" s="4">
        <v>1300</v>
      </c>
      <c r="F8" s="5"/>
      <c r="G8" s="4" t="s">
        <v>37</v>
      </c>
      <c r="H8" s="4" t="s">
        <v>37</v>
      </c>
      <c r="I8" s="4">
        <v>0</v>
      </c>
      <c r="J8" s="4" t="s">
        <v>37</v>
      </c>
      <c r="K8" s="4">
        <f t="shared" si="0"/>
        <v>1300</v>
      </c>
      <c r="L8" s="5"/>
    </row>
    <row r="9" spans="1:13" x14ac:dyDescent="0.25">
      <c r="A9" s="5" t="s">
        <v>1249</v>
      </c>
      <c r="B9" s="5" t="s">
        <v>1250</v>
      </c>
      <c r="C9" s="5" t="s">
        <v>27</v>
      </c>
      <c r="D9" s="5" t="s">
        <v>33</v>
      </c>
      <c r="E9" s="4">
        <v>1800</v>
      </c>
      <c r="F9" s="5"/>
      <c r="G9" s="4" t="s">
        <v>1251</v>
      </c>
      <c r="H9" s="4" t="s">
        <v>1249</v>
      </c>
      <c r="I9" s="4">
        <v>600</v>
      </c>
      <c r="J9" s="4" t="s">
        <v>66</v>
      </c>
      <c r="K9" s="4">
        <f t="shared" si="0"/>
        <v>1200</v>
      </c>
      <c r="L9" s="5"/>
    </row>
    <row r="10" spans="1:13" x14ac:dyDescent="0.25">
      <c r="A10" s="5" t="s">
        <v>1249</v>
      </c>
      <c r="B10" s="5" t="s">
        <v>1252</v>
      </c>
      <c r="C10" s="5" t="s">
        <v>27</v>
      </c>
      <c r="D10" s="5" t="s">
        <v>33</v>
      </c>
      <c r="E10" s="4">
        <v>1300</v>
      </c>
      <c r="F10" s="5"/>
      <c r="G10" s="4" t="s">
        <v>1253</v>
      </c>
      <c r="H10" s="4" t="s">
        <v>1249</v>
      </c>
      <c r="I10" s="4">
        <v>450</v>
      </c>
      <c r="J10" s="4" t="s">
        <v>66</v>
      </c>
      <c r="K10" s="4">
        <f t="shared" si="0"/>
        <v>850</v>
      </c>
      <c r="L10" s="5"/>
    </row>
    <row r="11" spans="1:13" x14ac:dyDescent="0.25">
      <c r="A11" s="5" t="s">
        <v>1249</v>
      </c>
      <c r="B11" s="5" t="s">
        <v>1254</v>
      </c>
      <c r="C11" s="5" t="s">
        <v>27</v>
      </c>
      <c r="D11" s="5" t="s">
        <v>33</v>
      </c>
      <c r="E11" s="4">
        <v>500</v>
      </c>
      <c r="F11" s="5"/>
      <c r="G11" s="4" t="s">
        <v>37</v>
      </c>
      <c r="H11" s="4" t="s">
        <v>37</v>
      </c>
      <c r="I11" s="4">
        <v>0</v>
      </c>
      <c r="J11" s="4" t="s">
        <v>37</v>
      </c>
      <c r="K11" s="4">
        <f t="shared" si="0"/>
        <v>500</v>
      </c>
      <c r="L11" s="5"/>
    </row>
    <row r="12" spans="1:13" x14ac:dyDescent="0.25">
      <c r="A12" s="5" t="s">
        <v>1249</v>
      </c>
      <c r="B12" s="5" t="s">
        <v>1255</v>
      </c>
      <c r="C12" s="5" t="s">
        <v>27</v>
      </c>
      <c r="D12" s="5" t="s">
        <v>33</v>
      </c>
      <c r="E12" s="4">
        <v>750</v>
      </c>
      <c r="F12" s="5"/>
      <c r="G12" s="4" t="s">
        <v>37</v>
      </c>
      <c r="H12" s="4" t="s">
        <v>37</v>
      </c>
      <c r="I12" s="4">
        <v>300</v>
      </c>
      <c r="J12" s="4" t="s">
        <v>403</v>
      </c>
      <c r="K12" s="4">
        <f t="shared" si="0"/>
        <v>450</v>
      </c>
      <c r="L12" s="5"/>
    </row>
    <row r="13" spans="1:13" x14ac:dyDescent="0.25">
      <c r="A13" s="5" t="s">
        <v>1282</v>
      </c>
      <c r="B13" s="5" t="s">
        <v>1284</v>
      </c>
      <c r="C13" s="5"/>
      <c r="D13" s="5"/>
      <c r="E13" s="4"/>
      <c r="F13" s="5"/>
      <c r="G13" s="4"/>
      <c r="H13" s="4"/>
      <c r="I13" s="4"/>
      <c r="J13" s="4"/>
      <c r="K13" s="4">
        <f t="shared" si="0"/>
        <v>0</v>
      </c>
      <c r="L13" s="5"/>
    </row>
    <row r="14" spans="1:13" x14ac:dyDescent="0.25">
      <c r="A14" s="5" t="s">
        <v>1283</v>
      </c>
      <c r="B14" s="5" t="s">
        <v>1287</v>
      </c>
      <c r="C14" s="5" t="s">
        <v>27</v>
      </c>
      <c r="D14" s="5" t="s">
        <v>33</v>
      </c>
      <c r="E14" s="4">
        <v>600</v>
      </c>
      <c r="F14" s="5"/>
      <c r="G14" s="4" t="s">
        <v>37</v>
      </c>
      <c r="H14" s="4" t="s">
        <v>1282</v>
      </c>
      <c r="I14" s="4">
        <v>0</v>
      </c>
      <c r="J14" s="4"/>
      <c r="K14" s="4">
        <f t="shared" si="0"/>
        <v>600</v>
      </c>
      <c r="L14" s="5"/>
    </row>
    <row r="15" spans="1:13" x14ac:dyDescent="0.25">
      <c r="A15" s="5" t="s">
        <v>1282</v>
      </c>
      <c r="B15" s="5" t="s">
        <v>1285</v>
      </c>
      <c r="C15" s="5"/>
      <c r="D15" s="5"/>
      <c r="E15" s="4"/>
      <c r="F15" s="5"/>
      <c r="G15" s="4"/>
      <c r="H15" s="4"/>
      <c r="I15" s="4"/>
      <c r="J15" s="4"/>
      <c r="K15" s="4">
        <f t="shared" si="0"/>
        <v>0</v>
      </c>
      <c r="L15" s="5"/>
      <c r="M15" s="9" t="s">
        <v>1228</v>
      </c>
    </row>
    <row r="16" spans="1:13" x14ac:dyDescent="0.25">
      <c r="A16" s="27" t="s">
        <v>1282</v>
      </c>
      <c r="B16" s="5" t="s">
        <v>1281</v>
      </c>
      <c r="C16" s="5" t="s">
        <v>27</v>
      </c>
      <c r="D16" s="5" t="s">
        <v>33</v>
      </c>
      <c r="E16" s="4">
        <v>600</v>
      </c>
      <c r="F16" s="5"/>
      <c r="G16" s="4" t="s">
        <v>37</v>
      </c>
      <c r="H16" s="4" t="s">
        <v>37</v>
      </c>
      <c r="I16" s="4">
        <v>0</v>
      </c>
      <c r="J16" s="4" t="s">
        <v>37</v>
      </c>
      <c r="K16" s="4">
        <f t="shared" si="0"/>
        <v>600</v>
      </c>
      <c r="L16" s="5"/>
    </row>
    <row r="17" spans="1:12" x14ac:dyDescent="0.25">
      <c r="A17" s="5" t="s">
        <v>1282</v>
      </c>
      <c r="B17" s="5" t="s">
        <v>1286</v>
      </c>
      <c r="C17" s="5" t="s">
        <v>27</v>
      </c>
      <c r="D17" s="5" t="s">
        <v>33</v>
      </c>
      <c r="E17" s="4"/>
      <c r="F17" s="5"/>
      <c r="G17" s="4" t="s">
        <v>37</v>
      </c>
      <c r="H17" s="4" t="s">
        <v>37</v>
      </c>
      <c r="I17" s="4">
        <v>0</v>
      </c>
      <c r="J17" s="4" t="s">
        <v>37</v>
      </c>
      <c r="K17" s="4">
        <f t="shared" si="0"/>
        <v>0</v>
      </c>
      <c r="L17" s="5"/>
    </row>
    <row r="18" spans="1:12" x14ac:dyDescent="0.25">
      <c r="A18" s="5" t="s">
        <v>1288</v>
      </c>
      <c r="B18" s="5" t="s">
        <v>1295</v>
      </c>
      <c r="C18" s="5" t="s">
        <v>27</v>
      </c>
      <c r="D18" s="5" t="s">
        <v>33</v>
      </c>
      <c r="E18" s="4">
        <v>1400</v>
      </c>
      <c r="F18" s="5"/>
      <c r="G18" s="4" t="s">
        <v>37</v>
      </c>
      <c r="H18" s="4" t="s">
        <v>37</v>
      </c>
      <c r="I18" s="4">
        <v>350</v>
      </c>
      <c r="J18" s="4" t="s">
        <v>185</v>
      </c>
      <c r="K18" s="4">
        <f t="shared" si="0"/>
        <v>1050</v>
      </c>
      <c r="L18" s="5"/>
    </row>
    <row r="19" spans="1:12" x14ac:dyDescent="0.25">
      <c r="A19" s="5" t="s">
        <v>1288</v>
      </c>
      <c r="B19" s="5" t="s">
        <v>1289</v>
      </c>
      <c r="C19" s="5" t="s">
        <v>27</v>
      </c>
      <c r="D19" s="5" t="s">
        <v>33</v>
      </c>
      <c r="E19" s="4">
        <v>750</v>
      </c>
      <c r="F19" s="5"/>
      <c r="G19" s="4" t="s">
        <v>37</v>
      </c>
      <c r="H19" s="4" t="s">
        <v>37</v>
      </c>
      <c r="I19" s="4">
        <v>350</v>
      </c>
      <c r="J19" s="4" t="s">
        <v>185</v>
      </c>
      <c r="K19" s="4">
        <f t="shared" ref="K19" si="1">E19-I19</f>
        <v>400</v>
      </c>
      <c r="L19" s="5"/>
    </row>
    <row r="20" spans="1:12" x14ac:dyDescent="0.25">
      <c r="A20" s="5" t="s">
        <v>1290</v>
      </c>
      <c r="B20" s="5" t="s">
        <v>1294</v>
      </c>
      <c r="C20" s="5" t="s">
        <v>27</v>
      </c>
      <c r="D20" s="5" t="s">
        <v>33</v>
      </c>
      <c r="E20" s="4">
        <v>750</v>
      </c>
      <c r="F20" s="5"/>
      <c r="G20" s="4" t="s">
        <v>37</v>
      </c>
      <c r="H20" s="4" t="s">
        <v>37</v>
      </c>
      <c r="I20" s="4">
        <v>350</v>
      </c>
      <c r="J20" s="4" t="s">
        <v>185</v>
      </c>
      <c r="K20" s="4">
        <f t="shared" ref="K20" si="2">E20-I20</f>
        <v>400</v>
      </c>
      <c r="L20" s="5"/>
    </row>
    <row r="21" spans="1:12" x14ac:dyDescent="0.25">
      <c r="A21" s="5" t="s">
        <v>1296</v>
      </c>
      <c r="B21" s="5" t="s">
        <v>1297</v>
      </c>
      <c r="C21" s="5" t="s">
        <v>27</v>
      </c>
      <c r="D21" s="5" t="s">
        <v>33</v>
      </c>
      <c r="E21" s="4">
        <v>3200</v>
      </c>
      <c r="F21" s="5"/>
      <c r="G21" s="4" t="s">
        <v>1298</v>
      </c>
      <c r="H21" s="4" t="s">
        <v>1299</v>
      </c>
      <c r="I21" s="4">
        <v>685</v>
      </c>
      <c r="J21" s="4" t="s">
        <v>491</v>
      </c>
      <c r="K21" s="4">
        <f t="shared" si="0"/>
        <v>2515</v>
      </c>
      <c r="L21" s="5"/>
    </row>
    <row r="22" spans="1:12" x14ac:dyDescent="0.25">
      <c r="A22" s="5" t="s">
        <v>1300</v>
      </c>
      <c r="B22" s="5" t="s">
        <v>1301</v>
      </c>
      <c r="C22" s="5" t="s">
        <v>27</v>
      </c>
      <c r="D22" s="5" t="s">
        <v>527</v>
      </c>
      <c r="E22" s="4">
        <v>1450</v>
      </c>
      <c r="F22" s="5"/>
      <c r="G22" s="4" t="s">
        <v>37</v>
      </c>
      <c r="H22" s="4" t="s">
        <v>37</v>
      </c>
      <c r="I22" s="4">
        <v>0</v>
      </c>
      <c r="J22" s="4" t="s">
        <v>185</v>
      </c>
      <c r="K22" s="4">
        <f t="shared" si="0"/>
        <v>1450</v>
      </c>
      <c r="L22" s="5"/>
    </row>
    <row r="23" spans="1:12" x14ac:dyDescent="0.25">
      <c r="A23" s="5" t="s">
        <v>1302</v>
      </c>
      <c r="B23" s="5" t="s">
        <v>1306</v>
      </c>
      <c r="C23" s="5" t="s">
        <v>27</v>
      </c>
      <c r="D23" s="5" t="s">
        <v>527</v>
      </c>
      <c r="E23" s="4">
        <v>950</v>
      </c>
      <c r="F23" s="5"/>
      <c r="G23" s="4" t="s">
        <v>37</v>
      </c>
      <c r="H23" s="4" t="s">
        <v>37</v>
      </c>
      <c r="I23" s="4">
        <v>0</v>
      </c>
      <c r="J23" s="4" t="s">
        <v>185</v>
      </c>
      <c r="K23" s="4">
        <f t="shared" ref="K23" si="3">E23-I23</f>
        <v>950</v>
      </c>
      <c r="L23" s="5"/>
    </row>
    <row r="24" spans="1:12" x14ac:dyDescent="0.25">
      <c r="A24" s="5" t="s">
        <v>1302</v>
      </c>
      <c r="B24" s="5" t="s">
        <v>1303</v>
      </c>
      <c r="C24" s="5" t="s">
        <v>27</v>
      </c>
      <c r="D24" s="5" t="s">
        <v>33</v>
      </c>
      <c r="E24" s="4">
        <v>1900</v>
      </c>
      <c r="F24" s="5"/>
      <c r="G24" s="4" t="s">
        <v>1253</v>
      </c>
      <c r="H24" s="4" t="s">
        <v>37</v>
      </c>
      <c r="I24" s="4">
        <v>0</v>
      </c>
      <c r="J24" s="4" t="s">
        <v>491</v>
      </c>
      <c r="K24" s="4">
        <f t="shared" si="0"/>
        <v>1900</v>
      </c>
      <c r="L24" s="5"/>
    </row>
    <row r="25" spans="1:12" x14ac:dyDescent="0.25">
      <c r="A25" s="5" t="s">
        <v>1302</v>
      </c>
      <c r="B25" s="5" t="s">
        <v>1304</v>
      </c>
      <c r="C25" s="5" t="s">
        <v>27</v>
      </c>
      <c r="D25" s="5" t="s">
        <v>33</v>
      </c>
      <c r="E25" s="4">
        <v>3800</v>
      </c>
      <c r="F25" s="18"/>
      <c r="G25" s="4" t="s">
        <v>1305</v>
      </c>
      <c r="H25" s="5" t="s">
        <v>1299</v>
      </c>
      <c r="I25" s="4">
        <v>2300</v>
      </c>
      <c r="J25" s="5" t="s">
        <v>66</v>
      </c>
      <c r="K25" s="4">
        <f t="shared" si="0"/>
        <v>1500</v>
      </c>
      <c r="L25" s="5"/>
    </row>
    <row r="26" spans="1:12" x14ac:dyDescent="0.25">
      <c r="A26" s="5" t="s">
        <v>1293</v>
      </c>
      <c r="B26" s="5" t="s">
        <v>1307</v>
      </c>
      <c r="C26" s="5" t="s">
        <v>27</v>
      </c>
      <c r="D26" s="5" t="s">
        <v>33</v>
      </c>
      <c r="E26" s="4">
        <v>2300</v>
      </c>
      <c r="F26" s="18"/>
      <c r="G26" s="4" t="s">
        <v>131</v>
      </c>
      <c r="H26" s="5" t="s">
        <v>37</v>
      </c>
      <c r="I26" s="4">
        <v>0</v>
      </c>
      <c r="J26" s="5" t="s">
        <v>491</v>
      </c>
      <c r="K26" s="4">
        <f t="shared" si="0"/>
        <v>2300</v>
      </c>
      <c r="L26" s="5"/>
    </row>
    <row r="27" spans="1:12" x14ac:dyDescent="0.25">
      <c r="A27" s="9" t="s">
        <v>1293</v>
      </c>
      <c r="B27" s="9" t="s">
        <v>1308</v>
      </c>
      <c r="C27" s="9" t="s">
        <v>27</v>
      </c>
      <c r="D27" s="9" t="s">
        <v>33</v>
      </c>
      <c r="F27" s="16"/>
      <c r="K27" s="10">
        <f t="shared" si="0"/>
        <v>0</v>
      </c>
    </row>
    <row r="28" spans="1:12" x14ac:dyDescent="0.25">
      <c r="A28" s="5" t="s">
        <v>1309</v>
      </c>
      <c r="B28" s="5" t="s">
        <v>1318</v>
      </c>
      <c r="C28" s="5" t="s">
        <v>27</v>
      </c>
      <c r="D28" s="5" t="s">
        <v>33</v>
      </c>
      <c r="E28" s="4">
        <v>2000</v>
      </c>
      <c r="F28" s="18"/>
      <c r="G28" s="4" t="s">
        <v>37</v>
      </c>
      <c r="H28" s="4" t="s">
        <v>37</v>
      </c>
      <c r="I28" s="4">
        <v>0</v>
      </c>
      <c r="J28" s="4" t="s">
        <v>185</v>
      </c>
      <c r="K28" s="4">
        <f t="shared" si="0"/>
        <v>2000</v>
      </c>
      <c r="L28" s="5"/>
    </row>
    <row r="29" spans="1:12" x14ac:dyDescent="0.25">
      <c r="A29" s="5" t="s">
        <v>1309</v>
      </c>
      <c r="B29" s="5" t="s">
        <v>1310</v>
      </c>
      <c r="C29" s="5" t="s">
        <v>27</v>
      </c>
      <c r="D29" s="5" t="s">
        <v>33</v>
      </c>
      <c r="E29" s="4">
        <v>1400</v>
      </c>
      <c r="F29" s="18"/>
      <c r="G29" s="4" t="s">
        <v>37</v>
      </c>
      <c r="H29" s="5" t="s">
        <v>37</v>
      </c>
      <c r="I29" s="4">
        <v>600</v>
      </c>
      <c r="J29" s="4" t="s">
        <v>185</v>
      </c>
      <c r="K29" s="4">
        <f t="shared" si="0"/>
        <v>800</v>
      </c>
      <c r="L29" s="5"/>
    </row>
    <row r="30" spans="1:12" x14ac:dyDescent="0.25">
      <c r="A30" s="5" t="s">
        <v>1309</v>
      </c>
      <c r="B30" s="5" t="s">
        <v>1311</v>
      </c>
      <c r="C30" s="5" t="s">
        <v>27</v>
      </c>
      <c r="D30" s="5" t="s">
        <v>33</v>
      </c>
      <c r="E30" s="4">
        <f>1300+800</f>
        <v>2100</v>
      </c>
      <c r="F30" s="18"/>
      <c r="G30" s="4" t="s">
        <v>192</v>
      </c>
      <c r="H30" s="5" t="s">
        <v>1309</v>
      </c>
      <c r="I30" s="4">
        <v>900</v>
      </c>
      <c r="J30" s="4" t="s">
        <v>185</v>
      </c>
      <c r="K30" s="4">
        <f t="shared" ref="K30" si="4">E30-I30</f>
        <v>1200</v>
      </c>
      <c r="L30" s="5"/>
    </row>
    <row r="31" spans="1:12" x14ac:dyDescent="0.25">
      <c r="A31" s="5" t="s">
        <v>1312</v>
      </c>
      <c r="B31" s="5" t="s">
        <v>1313</v>
      </c>
      <c r="C31" s="5" t="s">
        <v>27</v>
      </c>
      <c r="D31" s="5" t="s">
        <v>33</v>
      </c>
      <c r="E31" s="4">
        <v>1950</v>
      </c>
      <c r="F31" s="18"/>
      <c r="G31" s="4" t="s">
        <v>246</v>
      </c>
      <c r="H31" s="5" t="s">
        <v>1312</v>
      </c>
      <c r="I31" s="4">
        <v>1250</v>
      </c>
      <c r="J31" s="4" t="s">
        <v>65</v>
      </c>
      <c r="K31" s="4">
        <f t="shared" ref="K31:K33" si="5">E31-I31</f>
        <v>700</v>
      </c>
      <c r="L31" s="5"/>
    </row>
    <row r="32" spans="1:12" x14ac:dyDescent="0.25">
      <c r="A32" s="5" t="s">
        <v>1312</v>
      </c>
      <c r="B32" s="5" t="s">
        <v>1315</v>
      </c>
      <c r="C32" s="5" t="s">
        <v>27</v>
      </c>
      <c r="D32" s="5" t="s">
        <v>33</v>
      </c>
      <c r="E32" s="4">
        <v>2100</v>
      </c>
      <c r="F32" s="18"/>
      <c r="G32" s="4" t="s">
        <v>1314</v>
      </c>
      <c r="H32" s="5" t="s">
        <v>1312</v>
      </c>
      <c r="I32" s="4">
        <v>900</v>
      </c>
      <c r="J32" s="4" t="s">
        <v>65</v>
      </c>
      <c r="K32" s="4">
        <f t="shared" si="5"/>
        <v>1200</v>
      </c>
      <c r="L32" s="5"/>
    </row>
    <row r="33" spans="1:21" x14ac:dyDescent="0.25">
      <c r="A33" s="9" t="s">
        <v>1312</v>
      </c>
      <c r="B33" s="9" t="s">
        <v>1316</v>
      </c>
      <c r="C33" s="9" t="s">
        <v>27</v>
      </c>
      <c r="D33" s="9" t="s">
        <v>36</v>
      </c>
      <c r="E33" s="10">
        <v>400</v>
      </c>
      <c r="F33" s="16"/>
      <c r="G33" s="10" t="s">
        <v>37</v>
      </c>
      <c r="H33" s="9" t="s">
        <v>37</v>
      </c>
      <c r="I33" s="10">
        <v>0</v>
      </c>
      <c r="J33" s="10" t="s">
        <v>37</v>
      </c>
      <c r="K33" s="10">
        <f t="shared" si="5"/>
        <v>400</v>
      </c>
    </row>
    <row r="34" spans="1:21" x14ac:dyDescent="0.25">
      <c r="A34" s="5" t="s">
        <v>1291</v>
      </c>
      <c r="B34" s="5" t="s">
        <v>1319</v>
      </c>
      <c r="C34" s="5" t="s">
        <v>27</v>
      </c>
      <c r="D34" s="5" t="s">
        <v>33</v>
      </c>
      <c r="E34" s="4">
        <f>900+1700+2200</f>
        <v>4800</v>
      </c>
      <c r="F34" s="18"/>
      <c r="G34" s="4" t="s">
        <v>1323</v>
      </c>
      <c r="H34" s="5" t="s">
        <v>1324</v>
      </c>
      <c r="I34" s="4">
        <v>3500</v>
      </c>
      <c r="J34" s="4" t="s">
        <v>37</v>
      </c>
      <c r="K34" s="4">
        <f t="shared" ref="K34" si="6">E34-I34</f>
        <v>1300</v>
      </c>
      <c r="L34" s="5"/>
    </row>
    <row r="35" spans="1:21" s="11" customFormat="1" x14ac:dyDescent="0.25">
      <c r="E35" s="12"/>
      <c r="F35" s="17"/>
      <c r="G35" s="12"/>
      <c r="I35" s="12"/>
      <c r="K35" s="12"/>
    </row>
    <row r="36" spans="1:21" x14ac:dyDescent="0.25">
      <c r="F36" s="16"/>
    </row>
    <row r="37" spans="1:21" x14ac:dyDescent="0.25">
      <c r="A37" s="21" t="s">
        <v>1290</v>
      </c>
      <c r="B37" s="21" t="s">
        <v>1062</v>
      </c>
      <c r="C37" s="22">
        <v>3500</v>
      </c>
      <c r="H37" s="10"/>
      <c r="J37" s="10"/>
    </row>
    <row r="38" spans="1:21" s="10" customFormat="1" x14ac:dyDescent="0.25">
      <c r="A38" s="21" t="s">
        <v>1290</v>
      </c>
      <c r="B38" s="21" t="s">
        <v>1063</v>
      </c>
      <c r="C38" s="22">
        <v>4000</v>
      </c>
      <c r="D38" s="9"/>
      <c r="F38" s="16"/>
      <c r="H38" s="9">
        <f>2600-800</f>
        <v>1800</v>
      </c>
      <c r="I38" s="10" t="s">
        <v>1317</v>
      </c>
      <c r="J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s="10" customFormat="1" x14ac:dyDescent="0.25">
      <c r="A39" s="21" t="s">
        <v>1291</v>
      </c>
      <c r="B39" s="21" t="s">
        <v>1062</v>
      </c>
      <c r="C39" s="22">
        <v>3500</v>
      </c>
      <c r="D39" s="9"/>
      <c r="F39" s="16"/>
      <c r="H39" s="9"/>
      <c r="J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 s="10" customFormat="1" x14ac:dyDescent="0.25">
      <c r="A40" s="21" t="s">
        <v>1291</v>
      </c>
      <c r="B40" s="21" t="s">
        <v>1063</v>
      </c>
      <c r="C40" s="22">
        <v>4000</v>
      </c>
      <c r="D40" s="9"/>
      <c r="F40" s="16"/>
      <c r="H40" s="16"/>
      <c r="J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spans="1:21" s="10" customFormat="1" x14ac:dyDescent="0.25">
      <c r="A41" s="21" t="s">
        <v>1291</v>
      </c>
      <c r="B41" s="21" t="s">
        <v>1292</v>
      </c>
      <c r="C41" s="22">
        <v>1500</v>
      </c>
      <c r="D41" s="9"/>
      <c r="F41" s="16"/>
      <c r="H41" s="16"/>
      <c r="J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1:21" s="10" customFormat="1" x14ac:dyDescent="0.25">
      <c r="A42" s="19" t="s">
        <v>1293</v>
      </c>
      <c r="B42" s="19" t="s">
        <v>206</v>
      </c>
      <c r="C42" s="20">
        <v>1100</v>
      </c>
      <c r="D42" s="9"/>
      <c r="F42" s="9"/>
      <c r="H42" s="9"/>
      <c r="J42" s="9"/>
    </row>
    <row r="43" spans="1:21" s="10" customFormat="1" x14ac:dyDescent="0.25">
      <c r="A43" s="21" t="s">
        <v>1291</v>
      </c>
      <c r="B43" s="21" t="s">
        <v>648</v>
      </c>
      <c r="C43" s="22">
        <v>1000</v>
      </c>
      <c r="D43" s="9"/>
      <c r="F43" s="9"/>
      <c r="H43" s="9"/>
      <c r="J43" s="9"/>
    </row>
    <row r="44" spans="1:21" s="10" customFormat="1" x14ac:dyDescent="0.25">
      <c r="A44" s="19" t="s">
        <v>1291</v>
      </c>
      <c r="B44" s="19" t="s">
        <v>1026</v>
      </c>
      <c r="C44" s="20">
        <v>1500</v>
      </c>
      <c r="D44" s="9"/>
      <c r="F44" s="9"/>
      <c r="H44" s="9"/>
      <c r="J44" s="9"/>
    </row>
    <row r="45" spans="1:21" s="10" customFormat="1" x14ac:dyDescent="0.25">
      <c r="A45" s="21" t="s">
        <v>1291</v>
      </c>
      <c r="B45" s="5" t="s">
        <v>72</v>
      </c>
      <c r="C45" s="4">
        <v>550</v>
      </c>
      <c r="D45" s="9"/>
      <c r="F45" s="9"/>
      <c r="H45" s="9"/>
      <c r="J45" s="9"/>
    </row>
    <row r="46" spans="1:21" s="10" customFormat="1" x14ac:dyDescent="0.25">
      <c r="A46" s="19"/>
      <c r="B46" s="19"/>
      <c r="C46" s="20"/>
      <c r="D46" s="9"/>
      <c r="F46" s="9"/>
      <c r="H46" s="9"/>
      <c r="J46" s="9"/>
    </row>
    <row r="47" spans="1:21" s="10" customFormat="1" x14ac:dyDescent="0.25">
      <c r="A47" s="9"/>
      <c r="B47" s="19"/>
      <c r="C47" s="20"/>
      <c r="D47" s="9"/>
      <c r="F47" s="9"/>
      <c r="H47" s="9"/>
      <c r="J47" s="9"/>
    </row>
    <row r="48" spans="1:21" s="10" customFormat="1" x14ac:dyDescent="0.25">
      <c r="A48" s="9"/>
      <c r="B48" s="9"/>
      <c r="D48" s="9"/>
      <c r="F48" s="9"/>
      <c r="H48" s="9"/>
      <c r="J48" s="9"/>
    </row>
    <row r="49" spans="1:10" s="10" customFormat="1" x14ac:dyDescent="0.25">
      <c r="A49" s="9"/>
      <c r="B49" s="9"/>
      <c r="D49" s="9"/>
      <c r="F49" s="9"/>
    </row>
    <row r="50" spans="1:10" s="10" customFormat="1" x14ac:dyDescent="0.25">
      <c r="A50" s="9"/>
      <c r="B50" s="9"/>
      <c r="D50" s="9"/>
      <c r="F50" s="9"/>
    </row>
    <row r="51" spans="1:10" s="10" customFormat="1" x14ac:dyDescent="0.25">
      <c r="A51" s="9"/>
      <c r="B51" s="9"/>
      <c r="D51" s="9"/>
      <c r="F51" s="9"/>
    </row>
    <row r="52" spans="1:10" s="10" customFormat="1" x14ac:dyDescent="0.25">
      <c r="A52" s="9"/>
      <c r="B52" s="9"/>
      <c r="D52" s="9"/>
      <c r="F52" s="9"/>
    </row>
    <row r="53" spans="1:10" s="10" customFormat="1" x14ac:dyDescent="0.25">
      <c r="A53" s="9"/>
      <c r="B53" s="9"/>
      <c r="C53" s="9"/>
      <c r="D53" s="9"/>
      <c r="F53" s="9"/>
    </row>
    <row r="54" spans="1:10" s="10" customFormat="1" x14ac:dyDescent="0.25"/>
    <row r="55" spans="1:10" s="10" customFormat="1" x14ac:dyDescent="0.25"/>
    <row r="56" spans="1:10" s="10" customFormat="1" x14ac:dyDescent="0.25"/>
    <row r="57" spans="1:10" s="10" customFormat="1" x14ac:dyDescent="0.25"/>
    <row r="58" spans="1:10" s="10" customFormat="1" x14ac:dyDescent="0.25"/>
    <row r="59" spans="1:10" s="10" customFormat="1" x14ac:dyDescent="0.25"/>
    <row r="60" spans="1:10" s="10" customFormat="1" x14ac:dyDescent="0.25"/>
    <row r="61" spans="1:10" s="10" customFormat="1" x14ac:dyDescent="0.25">
      <c r="H61" s="9"/>
      <c r="J61" s="9"/>
    </row>
    <row r="62" spans="1:10" s="10" customFormat="1" x14ac:dyDescent="0.25">
      <c r="H62" s="9"/>
      <c r="J62" s="9"/>
    </row>
    <row r="63" spans="1:10" s="10" customFormat="1" x14ac:dyDescent="0.25">
      <c r="H63" s="9"/>
      <c r="J63" s="9"/>
    </row>
    <row r="64" spans="1:10" s="10" customFormat="1" x14ac:dyDescent="0.25">
      <c r="H64" s="9"/>
      <c r="J64" s="9"/>
    </row>
    <row r="65" spans="1:11" s="10" customFormat="1" x14ac:dyDescent="0.25">
      <c r="H65" s="9"/>
      <c r="J65" s="9"/>
    </row>
    <row r="66" spans="1:11" s="10" customFormat="1" x14ac:dyDescent="0.25">
      <c r="H66" s="9"/>
      <c r="J66" s="9"/>
    </row>
    <row r="67" spans="1:11" s="10" customFormat="1" x14ac:dyDescent="0.25">
      <c r="H67" s="9"/>
      <c r="J67" s="9"/>
    </row>
    <row r="68" spans="1:11" s="10" customFormat="1" x14ac:dyDescent="0.25">
      <c r="H68" s="9"/>
      <c r="J68" s="9"/>
    </row>
    <row r="69" spans="1:11" s="10" customFormat="1" x14ac:dyDescent="0.25">
      <c r="H69" s="9"/>
      <c r="J69" s="9"/>
    </row>
    <row r="70" spans="1:11" s="10" customFormat="1" x14ac:dyDescent="0.25">
      <c r="H70" s="9"/>
      <c r="J70" s="9"/>
    </row>
    <row r="71" spans="1:11" s="10" customFormat="1" x14ac:dyDescent="0.25">
      <c r="H71" s="9"/>
      <c r="J71" s="9"/>
    </row>
    <row r="72" spans="1:11" s="10" customFormat="1" x14ac:dyDescent="0.25">
      <c r="H72" s="9"/>
      <c r="J72" s="9"/>
    </row>
    <row r="73" spans="1:11" s="10" customFormat="1" x14ac:dyDescent="0.25">
      <c r="H73" s="9"/>
      <c r="J73" s="9"/>
    </row>
    <row r="74" spans="1:11" s="10" customFormat="1" x14ac:dyDescent="0.25">
      <c r="H74" s="9"/>
      <c r="J74" s="9"/>
    </row>
    <row r="75" spans="1:11" s="11" customFormat="1" x14ac:dyDescent="0.25">
      <c r="C75" s="12"/>
      <c r="E75" s="12"/>
      <c r="G75" s="12"/>
      <c r="I75" s="12"/>
      <c r="K75" s="12"/>
    </row>
    <row r="76" spans="1:11" x14ac:dyDescent="0.25">
      <c r="C76" s="10"/>
    </row>
    <row r="77" spans="1:11" x14ac:dyDescent="0.25">
      <c r="A77" s="13"/>
      <c r="C77" s="10"/>
    </row>
    <row r="78" spans="1:11" x14ac:dyDescent="0.25">
      <c r="C78" s="10"/>
    </row>
    <row r="79" spans="1:11" x14ac:dyDescent="0.25">
      <c r="C79" s="10"/>
    </row>
    <row r="80" spans="1:11" x14ac:dyDescent="0.25"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84" spans="3:3" x14ac:dyDescent="0.25">
      <c r="C84" s="10"/>
    </row>
    <row r="85" spans="3:3" x14ac:dyDescent="0.25">
      <c r="C85" s="10"/>
    </row>
    <row r="86" spans="3:3" x14ac:dyDescent="0.25">
      <c r="C86" s="10"/>
    </row>
    <row r="87" spans="3:3" x14ac:dyDescent="0.25">
      <c r="C87" s="10"/>
    </row>
    <row r="88" spans="3:3" x14ac:dyDescent="0.25">
      <c r="C88" s="10"/>
    </row>
    <row r="89" spans="3:3" x14ac:dyDescent="0.25">
      <c r="C89" s="10"/>
    </row>
    <row r="90" spans="3:3" x14ac:dyDescent="0.25">
      <c r="C90" s="10"/>
    </row>
    <row r="91" spans="3:3" x14ac:dyDescent="0.25">
      <c r="C91" s="10"/>
    </row>
    <row r="92" spans="3:3" x14ac:dyDescent="0.25">
      <c r="C92" s="10"/>
    </row>
    <row r="93" spans="3:3" x14ac:dyDescent="0.25">
      <c r="C93" s="10"/>
    </row>
    <row r="1048559" spans="1:21" s="10" customFormat="1" x14ac:dyDescent="0.25">
      <c r="A1048559" s="9"/>
      <c r="B1048559" s="9"/>
      <c r="C1048559" s="9"/>
      <c r="D1048559" s="9"/>
      <c r="F1048559" s="9"/>
      <c r="H1048559" s="9"/>
      <c r="L1048559" s="9"/>
      <c r="M1048559" s="9"/>
      <c r="N1048559" s="9"/>
      <c r="O1048559" s="9"/>
      <c r="P1048559" s="9"/>
      <c r="Q1048559" s="9"/>
      <c r="R1048559" s="9"/>
      <c r="S1048559" s="9"/>
      <c r="T1048559" s="9"/>
      <c r="U1048559" s="9"/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1048559"/>
  <sheetViews>
    <sheetView workbookViewId="0">
      <pane ySplit="3" topLeftCell="A4" activePane="bottomLeft" state="frozen"/>
      <selection activeCell="K26" activeCellId="1" sqref="K29:K30 K26"/>
      <selection pane="bottomLeft" activeCell="A36" sqref="A36"/>
    </sheetView>
  </sheetViews>
  <sheetFormatPr baseColWidth="10" defaultColWidth="10.7109375" defaultRowHeight="15" x14ac:dyDescent="0.25"/>
  <cols>
    <col min="1" max="1" width="22.7109375" style="9" customWidth="1"/>
    <col min="2" max="2" width="68.85546875" style="9" customWidth="1"/>
    <col min="3" max="3" width="22.42578125" style="9" customWidth="1"/>
    <col min="4" max="4" width="37.5703125" style="9" customWidth="1"/>
    <col min="5" max="5" width="10.7109375" style="10"/>
    <col min="6" max="6" width="6.140625" style="9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2" s="11" customFormat="1" x14ac:dyDescent="0.25">
      <c r="A1" s="11" t="s">
        <v>0</v>
      </c>
      <c r="E1" s="12"/>
      <c r="G1" s="12"/>
      <c r="I1" s="12"/>
    </row>
    <row r="3" spans="1:12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12" t="s">
        <v>13</v>
      </c>
    </row>
    <row r="4" spans="1:12" x14ac:dyDescent="0.25">
      <c r="A4" s="27" t="s">
        <v>1320</v>
      </c>
      <c r="B4" s="5" t="s">
        <v>1321</v>
      </c>
      <c r="C4" s="5" t="s">
        <v>27</v>
      </c>
      <c r="D4" s="5" t="s">
        <v>33</v>
      </c>
      <c r="E4" s="4">
        <v>1450</v>
      </c>
      <c r="F4" s="5"/>
      <c r="G4" s="4" t="s">
        <v>1322</v>
      </c>
      <c r="H4" s="4" t="s">
        <v>1320</v>
      </c>
      <c r="I4" s="4">
        <v>600</v>
      </c>
      <c r="J4" s="4"/>
      <c r="K4" s="4">
        <f t="shared" ref="K4:K32" si="0">E4-I4</f>
        <v>850</v>
      </c>
      <c r="L4" s="5"/>
    </row>
    <row r="5" spans="1:12" x14ac:dyDescent="0.25">
      <c r="A5" s="5" t="s">
        <v>1320</v>
      </c>
      <c r="B5" s="5" t="s">
        <v>1325</v>
      </c>
      <c r="C5" s="5" t="s">
        <v>27</v>
      </c>
      <c r="D5" s="5" t="s">
        <v>33</v>
      </c>
      <c r="E5" s="4">
        <v>600</v>
      </c>
      <c r="F5" s="5"/>
      <c r="G5" s="4" t="s">
        <v>37</v>
      </c>
      <c r="H5" s="4" t="s">
        <v>37</v>
      </c>
      <c r="I5" s="4">
        <v>0</v>
      </c>
      <c r="J5" s="4" t="s">
        <v>37</v>
      </c>
      <c r="K5" s="4">
        <f t="shared" si="0"/>
        <v>600</v>
      </c>
      <c r="L5" s="5"/>
    </row>
    <row r="6" spans="1:12" x14ac:dyDescent="0.25">
      <c r="A6" s="5" t="s">
        <v>1324</v>
      </c>
      <c r="B6" s="5" t="s">
        <v>625</v>
      </c>
      <c r="C6" s="5" t="s">
        <v>27</v>
      </c>
      <c r="D6" s="5" t="s">
        <v>33</v>
      </c>
      <c r="E6" s="4">
        <v>300</v>
      </c>
      <c r="F6" s="5"/>
      <c r="G6" s="4" t="s">
        <v>37</v>
      </c>
      <c r="H6" s="4" t="s">
        <v>37</v>
      </c>
      <c r="I6" s="4">
        <v>0</v>
      </c>
      <c r="J6" s="4" t="s">
        <v>37</v>
      </c>
      <c r="K6" s="4">
        <f t="shared" si="0"/>
        <v>300</v>
      </c>
    </row>
    <row r="7" spans="1:12" x14ac:dyDescent="0.25">
      <c r="A7" s="5" t="s">
        <v>1326</v>
      </c>
      <c r="B7" s="5" t="s">
        <v>1327</v>
      </c>
      <c r="C7" s="5" t="s">
        <v>27</v>
      </c>
      <c r="D7" s="5" t="s">
        <v>527</v>
      </c>
      <c r="E7" s="4">
        <v>1500</v>
      </c>
      <c r="F7" s="5"/>
      <c r="G7" s="4" t="s">
        <v>37</v>
      </c>
      <c r="H7" s="4" t="s">
        <v>37</v>
      </c>
      <c r="I7" s="4">
        <v>0</v>
      </c>
      <c r="J7" s="4" t="s">
        <v>37</v>
      </c>
      <c r="K7" s="4">
        <f t="shared" si="0"/>
        <v>1500</v>
      </c>
      <c r="L7" s="5"/>
    </row>
    <row r="8" spans="1:12" x14ac:dyDescent="0.25">
      <c r="A8" s="5" t="s">
        <v>1326</v>
      </c>
      <c r="B8" s="5" t="s">
        <v>1328</v>
      </c>
      <c r="C8" s="5" t="s">
        <v>27</v>
      </c>
      <c r="D8" s="5" t="s">
        <v>33</v>
      </c>
      <c r="E8" s="4">
        <v>800</v>
      </c>
      <c r="F8" s="5"/>
      <c r="G8" s="4" t="s">
        <v>37</v>
      </c>
      <c r="H8" s="4" t="s">
        <v>37</v>
      </c>
      <c r="I8" s="4">
        <v>0</v>
      </c>
      <c r="J8" s="4" t="s">
        <v>37</v>
      </c>
      <c r="K8" s="4">
        <f t="shared" si="0"/>
        <v>800</v>
      </c>
      <c r="L8" s="5"/>
    </row>
    <row r="9" spans="1:12" x14ac:dyDescent="0.25">
      <c r="A9" s="5" t="s">
        <v>1326</v>
      </c>
      <c r="B9" s="5" t="s">
        <v>1329</v>
      </c>
      <c r="C9" s="5" t="s">
        <v>27</v>
      </c>
      <c r="D9" s="5" t="s">
        <v>33</v>
      </c>
      <c r="E9" s="4">
        <v>2200</v>
      </c>
      <c r="F9" s="5"/>
      <c r="G9" s="4" t="s">
        <v>1330</v>
      </c>
      <c r="H9" s="4" t="s">
        <v>1326</v>
      </c>
      <c r="I9" s="4">
        <v>1099</v>
      </c>
      <c r="J9" s="4" t="s">
        <v>65</v>
      </c>
      <c r="K9" s="4">
        <f t="shared" si="0"/>
        <v>1101</v>
      </c>
      <c r="L9" s="5"/>
    </row>
    <row r="10" spans="1:12" x14ac:dyDescent="0.25">
      <c r="A10" s="9" t="s">
        <v>1326</v>
      </c>
      <c r="B10" s="9" t="s">
        <v>1331</v>
      </c>
      <c r="C10" s="9" t="s">
        <v>27</v>
      </c>
      <c r="D10" s="9" t="s">
        <v>33</v>
      </c>
      <c r="E10" s="10">
        <v>600</v>
      </c>
      <c r="G10" s="10" t="s">
        <v>37</v>
      </c>
      <c r="H10" s="10" t="s">
        <v>37</v>
      </c>
      <c r="I10" s="10">
        <v>0</v>
      </c>
      <c r="J10" s="10" t="s">
        <v>37</v>
      </c>
      <c r="K10" s="10">
        <f t="shared" si="0"/>
        <v>600</v>
      </c>
    </row>
    <row r="11" spans="1:12" x14ac:dyDescent="0.25">
      <c r="A11" s="5" t="s">
        <v>1326</v>
      </c>
      <c r="B11" s="5" t="s">
        <v>1332</v>
      </c>
      <c r="C11" s="5" t="s">
        <v>27</v>
      </c>
      <c r="D11" s="5" t="s">
        <v>33</v>
      </c>
      <c r="E11" s="4">
        <v>2100</v>
      </c>
      <c r="F11" s="5"/>
      <c r="G11" s="4" t="s">
        <v>1333</v>
      </c>
      <c r="H11" s="4"/>
      <c r="I11" s="4"/>
      <c r="J11" s="4"/>
      <c r="K11" s="4">
        <f t="shared" si="0"/>
        <v>2100</v>
      </c>
      <c r="L11" s="5"/>
    </row>
    <row r="12" spans="1:12" x14ac:dyDescent="0.25">
      <c r="A12" s="5" t="s">
        <v>1334</v>
      </c>
      <c r="B12" s="5" t="s">
        <v>1335</v>
      </c>
      <c r="C12" s="5" t="s">
        <v>27</v>
      </c>
      <c r="D12" s="5" t="s">
        <v>33</v>
      </c>
      <c r="E12" s="4">
        <v>600</v>
      </c>
      <c r="F12" s="5"/>
      <c r="G12" s="4" t="s">
        <v>37</v>
      </c>
      <c r="H12" s="4" t="s">
        <v>37</v>
      </c>
      <c r="I12" s="4">
        <v>0</v>
      </c>
      <c r="J12" s="4" t="s">
        <v>37</v>
      </c>
      <c r="K12" s="4">
        <f t="shared" ref="K12" si="1">E12-I12</f>
        <v>600</v>
      </c>
      <c r="L12" s="5"/>
    </row>
    <row r="13" spans="1:12" x14ac:dyDescent="0.25">
      <c r="A13" s="5" t="s">
        <v>1334</v>
      </c>
      <c r="B13" s="5" t="s">
        <v>1336</v>
      </c>
      <c r="C13" s="5" t="s">
        <v>27</v>
      </c>
      <c r="D13" s="5" t="s">
        <v>33</v>
      </c>
      <c r="E13" s="4">
        <v>3150</v>
      </c>
      <c r="F13" s="5"/>
      <c r="G13" s="4" t="s">
        <v>1337</v>
      </c>
      <c r="H13" s="4" t="s">
        <v>1334</v>
      </c>
      <c r="I13" s="4">
        <v>500</v>
      </c>
      <c r="J13" s="4" t="s">
        <v>37</v>
      </c>
      <c r="K13" s="4">
        <f t="shared" si="0"/>
        <v>2650</v>
      </c>
      <c r="L13" s="5"/>
    </row>
    <row r="14" spans="1:12" x14ac:dyDescent="0.25">
      <c r="A14" s="5" t="s">
        <v>1339</v>
      </c>
      <c r="B14" s="5" t="s">
        <v>1338</v>
      </c>
      <c r="C14" s="5" t="s">
        <v>27</v>
      </c>
      <c r="D14" s="5" t="s">
        <v>33</v>
      </c>
      <c r="E14" s="4">
        <v>2400</v>
      </c>
      <c r="F14" s="5"/>
      <c r="G14" s="4" t="s">
        <v>1340</v>
      </c>
      <c r="H14" s="4" t="s">
        <v>1334</v>
      </c>
      <c r="I14" s="4">
        <v>1200</v>
      </c>
      <c r="J14" s="4" t="s">
        <v>37</v>
      </c>
      <c r="K14" s="4">
        <f t="shared" si="0"/>
        <v>1200</v>
      </c>
      <c r="L14" s="5"/>
    </row>
    <row r="15" spans="1:12" x14ac:dyDescent="0.25">
      <c r="A15" s="5" t="s">
        <v>1339</v>
      </c>
      <c r="B15" s="5" t="s">
        <v>1344</v>
      </c>
      <c r="C15" s="5" t="s">
        <v>27</v>
      </c>
      <c r="D15" s="5" t="s">
        <v>33</v>
      </c>
      <c r="E15" s="4">
        <v>600</v>
      </c>
      <c r="F15" s="5"/>
      <c r="G15" s="4" t="s">
        <v>37</v>
      </c>
      <c r="H15" s="4" t="s">
        <v>37</v>
      </c>
      <c r="I15" s="4">
        <v>0</v>
      </c>
      <c r="J15" s="4" t="s">
        <v>37</v>
      </c>
      <c r="K15" s="4">
        <f t="shared" si="0"/>
        <v>600</v>
      </c>
      <c r="L15" s="5"/>
    </row>
    <row r="16" spans="1:12" x14ac:dyDescent="0.25">
      <c r="A16" s="27" t="s">
        <v>1345</v>
      </c>
      <c r="B16" s="5" t="s">
        <v>1349</v>
      </c>
      <c r="C16" s="5" t="s">
        <v>27</v>
      </c>
      <c r="D16" s="5" t="s">
        <v>33</v>
      </c>
      <c r="E16" s="4">
        <v>1600</v>
      </c>
      <c r="F16" s="5"/>
      <c r="G16" s="4" t="s">
        <v>1346</v>
      </c>
      <c r="H16" s="4" t="s">
        <v>491</v>
      </c>
      <c r="I16" s="4">
        <v>500</v>
      </c>
      <c r="J16" s="4" t="s">
        <v>37</v>
      </c>
      <c r="K16" s="4">
        <f t="shared" si="0"/>
        <v>1100</v>
      </c>
      <c r="L16" s="5"/>
    </row>
    <row r="17" spans="1:13" x14ac:dyDescent="0.25">
      <c r="A17" s="5" t="s">
        <v>1345</v>
      </c>
      <c r="B17" s="5" t="s">
        <v>1350</v>
      </c>
      <c r="C17" s="5" t="s">
        <v>27</v>
      </c>
      <c r="D17" s="5" t="s">
        <v>33</v>
      </c>
      <c r="E17" s="4">
        <v>3150</v>
      </c>
      <c r="F17" s="5"/>
      <c r="G17" s="4" t="s">
        <v>1347</v>
      </c>
      <c r="H17" s="4" t="s">
        <v>491</v>
      </c>
      <c r="I17" s="4">
        <v>1000</v>
      </c>
      <c r="J17" s="4" t="s">
        <v>37</v>
      </c>
      <c r="K17" s="4">
        <f t="shared" si="0"/>
        <v>2150</v>
      </c>
      <c r="L17" s="5"/>
    </row>
    <row r="18" spans="1:13" x14ac:dyDescent="0.25">
      <c r="A18" s="5" t="s">
        <v>1345</v>
      </c>
      <c r="B18" s="5" t="s">
        <v>1348</v>
      </c>
      <c r="C18" s="5" t="s">
        <v>27</v>
      </c>
      <c r="D18" s="5" t="s">
        <v>33</v>
      </c>
      <c r="E18" s="4">
        <v>4950</v>
      </c>
      <c r="F18" s="5"/>
      <c r="G18" s="4" t="s">
        <v>1351</v>
      </c>
      <c r="H18" s="4" t="s">
        <v>912</v>
      </c>
      <c r="I18" s="4">
        <f>1399+1000</f>
        <v>2399</v>
      </c>
      <c r="J18" s="4" t="s">
        <v>66</v>
      </c>
      <c r="K18" s="4">
        <f t="shared" si="0"/>
        <v>2551</v>
      </c>
      <c r="L18" s="5"/>
    </row>
    <row r="19" spans="1:13" x14ac:dyDescent="0.25">
      <c r="A19" s="5" t="s">
        <v>1352</v>
      </c>
      <c r="B19" s="5" t="s">
        <v>1353</v>
      </c>
      <c r="C19" s="5" t="s">
        <v>27</v>
      </c>
      <c r="D19" s="5" t="s">
        <v>33</v>
      </c>
      <c r="E19" s="4">
        <v>1200</v>
      </c>
      <c r="F19" s="5"/>
      <c r="G19" s="4" t="s">
        <v>37</v>
      </c>
      <c r="H19" s="4" t="s">
        <v>37</v>
      </c>
      <c r="I19" s="4">
        <v>0</v>
      </c>
      <c r="J19" s="4" t="s">
        <v>37</v>
      </c>
      <c r="K19" s="4">
        <f t="shared" si="0"/>
        <v>1200</v>
      </c>
      <c r="L19" s="5" t="s">
        <v>1354</v>
      </c>
      <c r="M19" s="5"/>
    </row>
    <row r="20" spans="1:13" x14ac:dyDescent="0.25">
      <c r="A20" s="5" t="s">
        <v>1355</v>
      </c>
      <c r="B20" s="5" t="s">
        <v>1327</v>
      </c>
      <c r="C20" s="5" t="s">
        <v>27</v>
      </c>
      <c r="D20" s="5" t="s">
        <v>33</v>
      </c>
      <c r="E20" s="4">
        <v>600</v>
      </c>
      <c r="F20" s="5"/>
      <c r="G20" s="4" t="s">
        <v>37</v>
      </c>
      <c r="H20" s="4" t="s">
        <v>37</v>
      </c>
      <c r="I20" s="4">
        <v>0</v>
      </c>
      <c r="J20" s="4" t="s">
        <v>37</v>
      </c>
      <c r="K20" s="4">
        <f t="shared" si="0"/>
        <v>600</v>
      </c>
      <c r="L20" s="5"/>
    </row>
    <row r="21" spans="1:13" x14ac:dyDescent="0.25">
      <c r="A21" s="5" t="s">
        <v>1355</v>
      </c>
      <c r="B21" s="5" t="s">
        <v>1356</v>
      </c>
      <c r="C21" s="5" t="s">
        <v>27</v>
      </c>
      <c r="D21" s="5" t="s">
        <v>33</v>
      </c>
      <c r="E21" s="4">
        <v>500</v>
      </c>
      <c r="F21" s="5"/>
      <c r="G21" s="4" t="s">
        <v>37</v>
      </c>
      <c r="H21" s="4" t="s">
        <v>37</v>
      </c>
      <c r="I21" s="4">
        <v>0</v>
      </c>
      <c r="J21" s="4" t="s">
        <v>37</v>
      </c>
      <c r="K21" s="4">
        <f t="shared" ref="K21" si="2">E21-I21</f>
        <v>500</v>
      </c>
      <c r="L21" s="5"/>
    </row>
    <row r="22" spans="1:13" x14ac:dyDescent="0.25">
      <c r="A22" s="5" t="s">
        <v>1357</v>
      </c>
      <c r="B22" s="5" t="s">
        <v>1358</v>
      </c>
      <c r="C22" s="5" t="s">
        <v>27</v>
      </c>
      <c r="D22" s="5" t="s">
        <v>33</v>
      </c>
      <c r="E22" s="4">
        <v>2450</v>
      </c>
      <c r="F22" s="5"/>
      <c r="G22" s="4" t="s">
        <v>1359</v>
      </c>
      <c r="H22" s="4" t="s">
        <v>1357</v>
      </c>
      <c r="I22" s="4">
        <f>549+800</f>
        <v>1349</v>
      </c>
      <c r="J22" s="4" t="s">
        <v>66</v>
      </c>
      <c r="K22" s="4">
        <f t="shared" si="0"/>
        <v>1101</v>
      </c>
      <c r="L22" s="5"/>
    </row>
    <row r="23" spans="1:13" x14ac:dyDescent="0.25">
      <c r="A23" s="5" t="s">
        <v>1360</v>
      </c>
      <c r="B23" s="5" t="s">
        <v>1361</v>
      </c>
      <c r="C23" s="5" t="s">
        <v>27</v>
      </c>
      <c r="D23" s="5" t="s">
        <v>33</v>
      </c>
      <c r="E23" s="4">
        <v>2300</v>
      </c>
      <c r="F23" s="5"/>
      <c r="G23" s="4" t="s">
        <v>178</v>
      </c>
      <c r="H23" s="4" t="s">
        <v>1343</v>
      </c>
      <c r="I23" s="4">
        <v>1100</v>
      </c>
      <c r="J23" s="4" t="s">
        <v>66</v>
      </c>
      <c r="K23" s="4">
        <f t="shared" si="0"/>
        <v>1200</v>
      </c>
      <c r="L23" s="5"/>
    </row>
    <row r="24" spans="1:13" x14ac:dyDescent="0.25">
      <c r="A24" s="5" t="s">
        <v>1360</v>
      </c>
      <c r="B24" s="5" t="s">
        <v>1362</v>
      </c>
      <c r="C24" s="5" t="s">
        <v>27</v>
      </c>
      <c r="D24" s="5" t="s">
        <v>33</v>
      </c>
      <c r="E24" s="4">
        <v>750</v>
      </c>
      <c r="F24" s="5"/>
      <c r="G24" s="4" t="s">
        <v>37</v>
      </c>
      <c r="H24" s="4" t="s">
        <v>37</v>
      </c>
      <c r="I24" s="4">
        <v>0</v>
      </c>
      <c r="J24" s="4" t="s">
        <v>37</v>
      </c>
      <c r="K24" s="4">
        <f t="shared" si="0"/>
        <v>750</v>
      </c>
      <c r="L24" s="5"/>
    </row>
    <row r="25" spans="1:13" x14ac:dyDescent="0.25">
      <c r="A25" s="5" t="s">
        <v>1360</v>
      </c>
      <c r="B25" s="5" t="s">
        <v>1363</v>
      </c>
      <c r="C25" s="5" t="s">
        <v>27</v>
      </c>
      <c r="D25" s="5" t="s">
        <v>33</v>
      </c>
      <c r="E25" s="4">
        <v>350</v>
      </c>
      <c r="F25" s="5"/>
      <c r="G25" s="4" t="s">
        <v>37</v>
      </c>
      <c r="H25" s="4" t="s">
        <v>37</v>
      </c>
      <c r="I25" s="4">
        <v>0</v>
      </c>
      <c r="J25" s="4" t="s">
        <v>37</v>
      </c>
      <c r="K25" s="4">
        <f t="shared" ref="K25" si="3">E25-I25</f>
        <v>350</v>
      </c>
      <c r="L25" s="5"/>
    </row>
    <row r="26" spans="1:13" x14ac:dyDescent="0.25">
      <c r="A26" s="5" t="s">
        <v>1364</v>
      </c>
      <c r="B26" s="5" t="s">
        <v>1365</v>
      </c>
      <c r="C26" s="5" t="s">
        <v>27</v>
      </c>
      <c r="D26" s="5" t="s">
        <v>33</v>
      </c>
      <c r="E26" s="4">
        <v>750</v>
      </c>
      <c r="F26" s="18"/>
      <c r="G26" s="4" t="s">
        <v>37</v>
      </c>
      <c r="H26" s="5" t="s">
        <v>37</v>
      </c>
      <c r="I26" s="4">
        <v>350</v>
      </c>
      <c r="J26" s="5" t="s">
        <v>37</v>
      </c>
      <c r="K26" s="4">
        <f t="shared" si="0"/>
        <v>400</v>
      </c>
      <c r="L26" s="5" t="s">
        <v>1366</v>
      </c>
      <c r="M26" s="5"/>
    </row>
    <row r="27" spans="1:13" x14ac:dyDescent="0.25">
      <c r="A27" s="5" t="s">
        <v>1367</v>
      </c>
      <c r="B27" s="5" t="s">
        <v>1368</v>
      </c>
      <c r="C27" s="5" t="s">
        <v>27</v>
      </c>
      <c r="D27" s="5" t="s">
        <v>33</v>
      </c>
      <c r="E27" s="4">
        <v>2000</v>
      </c>
      <c r="F27" s="18"/>
      <c r="G27" s="4" t="s">
        <v>37</v>
      </c>
      <c r="H27" s="5" t="s">
        <v>1369</v>
      </c>
      <c r="I27" s="4"/>
      <c r="J27" s="5"/>
      <c r="K27" s="4">
        <f t="shared" si="0"/>
        <v>2000</v>
      </c>
      <c r="L27" s="5"/>
    </row>
    <row r="28" spans="1:13" x14ac:dyDescent="0.25">
      <c r="A28" s="5" t="s">
        <v>1342</v>
      </c>
      <c r="B28" s="5" t="s">
        <v>1370</v>
      </c>
      <c r="C28" s="5" t="s">
        <v>27</v>
      </c>
      <c r="D28" s="5" t="s">
        <v>33</v>
      </c>
      <c r="E28" s="4">
        <v>12710</v>
      </c>
      <c r="F28" s="18"/>
      <c r="G28" s="4" t="s">
        <v>1371</v>
      </c>
      <c r="H28" s="4" t="s">
        <v>1372</v>
      </c>
      <c r="I28" s="4"/>
      <c r="J28" s="4"/>
      <c r="K28" s="4">
        <f t="shared" si="0"/>
        <v>12710</v>
      </c>
      <c r="L28" s="5"/>
    </row>
    <row r="29" spans="1:13" x14ac:dyDescent="0.25">
      <c r="A29" s="5" t="s">
        <v>1342</v>
      </c>
      <c r="B29" s="5" t="s">
        <v>1373</v>
      </c>
      <c r="C29" s="5" t="s">
        <v>27</v>
      </c>
      <c r="D29" s="5" t="s">
        <v>33</v>
      </c>
      <c r="E29" s="4">
        <v>850</v>
      </c>
      <c r="F29" s="18"/>
      <c r="G29" s="4" t="s">
        <v>37</v>
      </c>
      <c r="H29" s="5" t="s">
        <v>37</v>
      </c>
      <c r="I29" s="4">
        <v>0</v>
      </c>
      <c r="J29" s="4" t="s">
        <v>37</v>
      </c>
      <c r="K29" s="4">
        <f t="shared" si="0"/>
        <v>850</v>
      </c>
      <c r="L29" s="5"/>
    </row>
    <row r="30" spans="1:13" x14ac:dyDescent="0.25">
      <c r="F30" s="16"/>
      <c r="J30" s="10"/>
      <c r="K30" s="10">
        <f t="shared" si="0"/>
        <v>0</v>
      </c>
    </row>
    <row r="31" spans="1:13" x14ac:dyDescent="0.25">
      <c r="F31" s="16"/>
      <c r="J31" s="10"/>
      <c r="K31" s="10">
        <f t="shared" si="0"/>
        <v>0</v>
      </c>
    </row>
    <row r="32" spans="1:13" x14ac:dyDescent="0.25">
      <c r="F32" s="16"/>
      <c r="J32" s="10"/>
      <c r="K32" s="10">
        <f t="shared" si="0"/>
        <v>0</v>
      </c>
    </row>
    <row r="33" spans="1:21" x14ac:dyDescent="0.25">
      <c r="F33" s="16"/>
      <c r="J33" s="10"/>
    </row>
    <row r="34" spans="1:21" x14ac:dyDescent="0.25">
      <c r="F34" s="16"/>
      <c r="J34" s="10"/>
    </row>
    <row r="35" spans="1:21" s="11" customFormat="1" x14ac:dyDescent="0.25">
      <c r="E35" s="12"/>
      <c r="F35" s="17"/>
      <c r="G35" s="12"/>
      <c r="I35" s="12"/>
      <c r="K35" s="12"/>
    </row>
    <row r="36" spans="1:21" x14ac:dyDescent="0.25">
      <c r="F36" s="16"/>
    </row>
    <row r="37" spans="1:21" x14ac:dyDescent="0.25">
      <c r="A37" s="21" t="s">
        <v>1341</v>
      </c>
      <c r="B37" s="21" t="s">
        <v>1062</v>
      </c>
      <c r="C37" s="22">
        <v>3500</v>
      </c>
      <c r="H37" s="10"/>
      <c r="J37" s="10"/>
    </row>
    <row r="38" spans="1:21" s="10" customFormat="1" x14ac:dyDescent="0.25">
      <c r="A38" s="21" t="s">
        <v>1341</v>
      </c>
      <c r="B38" s="21" t="s">
        <v>1063</v>
      </c>
      <c r="C38" s="22">
        <v>4000</v>
      </c>
      <c r="D38" s="9"/>
      <c r="F38" s="16"/>
      <c r="H38" s="9"/>
      <c r="J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s="10" customFormat="1" x14ac:dyDescent="0.25">
      <c r="A39" s="21" t="s">
        <v>1342</v>
      </c>
      <c r="B39" s="21" t="s">
        <v>1062</v>
      </c>
      <c r="C39" s="22">
        <v>3500</v>
      </c>
      <c r="D39" s="9"/>
      <c r="F39" s="16"/>
      <c r="H39" s="9"/>
      <c r="J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 s="10" customFormat="1" x14ac:dyDescent="0.25">
      <c r="A40" s="19" t="s">
        <v>1342</v>
      </c>
      <c r="B40" s="19" t="s">
        <v>1063</v>
      </c>
      <c r="C40" s="20">
        <v>4000</v>
      </c>
      <c r="D40" s="9"/>
      <c r="F40" s="16"/>
      <c r="H40" s="16"/>
      <c r="J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spans="1:21" s="10" customFormat="1" x14ac:dyDescent="0.25">
      <c r="A41" s="21" t="s">
        <v>1342</v>
      </c>
      <c r="B41" s="21" t="s">
        <v>1292</v>
      </c>
      <c r="C41" s="22">
        <v>1500</v>
      </c>
      <c r="D41" s="9"/>
      <c r="F41" s="16"/>
      <c r="H41" s="16"/>
      <c r="J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1:21" s="10" customFormat="1" x14ac:dyDescent="0.25">
      <c r="A42" s="21" t="s">
        <v>1343</v>
      </c>
      <c r="B42" s="21" t="s">
        <v>206</v>
      </c>
      <c r="C42" s="22">
        <v>6600</v>
      </c>
      <c r="D42" s="9"/>
      <c r="F42" s="9"/>
      <c r="H42" s="9"/>
      <c r="J42" s="9"/>
    </row>
    <row r="43" spans="1:21" s="10" customFormat="1" x14ac:dyDescent="0.25">
      <c r="A43" s="19" t="s">
        <v>1342</v>
      </c>
      <c r="B43" s="19" t="s">
        <v>648</v>
      </c>
      <c r="C43" s="20">
        <v>1000</v>
      </c>
      <c r="D43" s="9"/>
      <c r="F43" s="9"/>
      <c r="H43" s="9"/>
      <c r="J43" s="9"/>
    </row>
    <row r="44" spans="1:21" s="10" customFormat="1" x14ac:dyDescent="0.25">
      <c r="A44" s="21" t="s">
        <v>1342</v>
      </c>
      <c r="B44" s="21" t="s">
        <v>1026</v>
      </c>
      <c r="C44" s="22">
        <v>1500</v>
      </c>
      <c r="D44" s="9"/>
      <c r="F44" s="9"/>
      <c r="H44" s="9"/>
      <c r="J44" s="9"/>
    </row>
    <row r="45" spans="1:21" s="10" customFormat="1" x14ac:dyDescent="0.25">
      <c r="A45" s="21" t="s">
        <v>1342</v>
      </c>
      <c r="B45" s="5" t="s">
        <v>72</v>
      </c>
      <c r="C45" s="4">
        <v>550</v>
      </c>
      <c r="D45" s="9"/>
      <c r="F45" s="9"/>
      <c r="H45" s="9"/>
      <c r="J45" s="9"/>
    </row>
    <row r="46" spans="1:21" s="10" customFormat="1" x14ac:dyDescent="0.25">
      <c r="A46" s="19"/>
      <c r="B46" s="19"/>
      <c r="C46" s="20"/>
      <c r="D46" s="9"/>
      <c r="F46" s="9"/>
      <c r="H46" s="9"/>
      <c r="J46" s="9"/>
    </row>
    <row r="47" spans="1:21" s="10" customFormat="1" x14ac:dyDescent="0.25">
      <c r="A47" s="9"/>
      <c r="B47" s="19"/>
      <c r="C47" s="20"/>
      <c r="D47" s="9"/>
      <c r="F47" s="9"/>
      <c r="H47" s="9"/>
      <c r="J47" s="9"/>
    </row>
    <row r="48" spans="1:21" s="10" customFormat="1" x14ac:dyDescent="0.25">
      <c r="A48" s="9"/>
      <c r="B48" s="9"/>
      <c r="D48" s="9"/>
      <c r="F48" s="9"/>
      <c r="H48" s="9"/>
      <c r="J48" s="9"/>
    </row>
    <row r="49" spans="1:10" s="10" customFormat="1" x14ac:dyDescent="0.25">
      <c r="A49" s="9"/>
      <c r="B49" s="9"/>
      <c r="D49" s="9"/>
      <c r="F49" s="9"/>
    </row>
    <row r="50" spans="1:10" s="10" customFormat="1" x14ac:dyDescent="0.25">
      <c r="A50" s="9"/>
      <c r="B50" s="9"/>
      <c r="D50" s="9"/>
      <c r="F50" s="9"/>
    </row>
    <row r="51" spans="1:10" s="10" customFormat="1" x14ac:dyDescent="0.25">
      <c r="A51" s="9"/>
      <c r="B51" s="9"/>
      <c r="D51" s="9"/>
      <c r="F51" s="9"/>
    </row>
    <row r="52" spans="1:10" s="10" customFormat="1" x14ac:dyDescent="0.25">
      <c r="A52" s="9"/>
      <c r="B52" s="9"/>
      <c r="D52" s="9"/>
      <c r="F52" s="9"/>
    </row>
    <row r="53" spans="1:10" s="10" customFormat="1" x14ac:dyDescent="0.25">
      <c r="A53" s="9"/>
      <c r="B53" s="9"/>
      <c r="C53" s="9"/>
      <c r="D53" s="9"/>
      <c r="F53" s="9"/>
    </row>
    <row r="54" spans="1:10" s="10" customFormat="1" x14ac:dyDescent="0.25"/>
    <row r="55" spans="1:10" s="10" customFormat="1" x14ac:dyDescent="0.25"/>
    <row r="56" spans="1:10" s="10" customFormat="1" x14ac:dyDescent="0.25"/>
    <row r="57" spans="1:10" s="10" customFormat="1" x14ac:dyDescent="0.25"/>
    <row r="58" spans="1:10" s="10" customFormat="1" x14ac:dyDescent="0.25"/>
    <row r="59" spans="1:10" s="10" customFormat="1" x14ac:dyDescent="0.25"/>
    <row r="60" spans="1:10" s="10" customFormat="1" x14ac:dyDescent="0.25"/>
    <row r="61" spans="1:10" s="10" customFormat="1" x14ac:dyDescent="0.25">
      <c r="H61" s="9"/>
      <c r="J61" s="9"/>
    </row>
    <row r="62" spans="1:10" s="10" customFormat="1" x14ac:dyDescent="0.25">
      <c r="H62" s="9"/>
      <c r="J62" s="9"/>
    </row>
    <row r="63" spans="1:10" s="10" customFormat="1" x14ac:dyDescent="0.25">
      <c r="H63" s="9"/>
      <c r="J63" s="9"/>
    </row>
    <row r="64" spans="1:10" s="10" customFormat="1" x14ac:dyDescent="0.25">
      <c r="H64" s="9"/>
      <c r="J64" s="9"/>
    </row>
    <row r="65" spans="1:11" s="10" customFormat="1" x14ac:dyDescent="0.25">
      <c r="H65" s="9"/>
      <c r="J65" s="9"/>
    </row>
    <row r="66" spans="1:11" s="10" customFormat="1" x14ac:dyDescent="0.25">
      <c r="H66" s="9"/>
      <c r="J66" s="9"/>
    </row>
    <row r="67" spans="1:11" s="10" customFormat="1" x14ac:dyDescent="0.25">
      <c r="H67" s="9"/>
      <c r="J67" s="9"/>
    </row>
    <row r="68" spans="1:11" s="10" customFormat="1" x14ac:dyDescent="0.25">
      <c r="H68" s="9"/>
      <c r="J68" s="9"/>
    </row>
    <row r="69" spans="1:11" s="10" customFormat="1" x14ac:dyDescent="0.25">
      <c r="H69" s="9"/>
      <c r="J69" s="9"/>
    </row>
    <row r="70" spans="1:11" s="10" customFormat="1" x14ac:dyDescent="0.25">
      <c r="H70" s="9"/>
      <c r="J70" s="9"/>
    </row>
    <row r="71" spans="1:11" s="10" customFormat="1" x14ac:dyDescent="0.25">
      <c r="H71" s="9"/>
      <c r="J71" s="9"/>
    </row>
    <row r="72" spans="1:11" s="10" customFormat="1" x14ac:dyDescent="0.25">
      <c r="H72" s="9"/>
      <c r="J72" s="9"/>
    </row>
    <row r="73" spans="1:11" s="10" customFormat="1" x14ac:dyDescent="0.25">
      <c r="H73" s="9"/>
      <c r="J73" s="9"/>
    </row>
    <row r="74" spans="1:11" s="10" customFormat="1" x14ac:dyDescent="0.25">
      <c r="H74" s="9"/>
      <c r="J74" s="9"/>
    </row>
    <row r="75" spans="1:11" s="11" customFormat="1" x14ac:dyDescent="0.25">
      <c r="C75" s="12"/>
      <c r="E75" s="12"/>
      <c r="G75" s="12"/>
      <c r="I75" s="12"/>
      <c r="K75" s="12"/>
    </row>
    <row r="76" spans="1:11" x14ac:dyDescent="0.25">
      <c r="C76" s="10"/>
    </row>
    <row r="77" spans="1:11" x14ac:dyDescent="0.25">
      <c r="A77" s="13"/>
      <c r="C77" s="10"/>
    </row>
    <row r="78" spans="1:11" x14ac:dyDescent="0.25">
      <c r="C78" s="10"/>
    </row>
    <row r="79" spans="1:11" x14ac:dyDescent="0.25">
      <c r="C79" s="10"/>
    </row>
    <row r="80" spans="1:11" x14ac:dyDescent="0.25"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84" spans="3:3" x14ac:dyDescent="0.25">
      <c r="C84" s="10"/>
    </row>
    <row r="85" spans="3:3" x14ac:dyDescent="0.25">
      <c r="C85" s="10"/>
    </row>
    <row r="86" spans="3:3" x14ac:dyDescent="0.25">
      <c r="C86" s="10"/>
    </row>
    <row r="87" spans="3:3" x14ac:dyDescent="0.25">
      <c r="C87" s="10"/>
    </row>
    <row r="88" spans="3:3" x14ac:dyDescent="0.25">
      <c r="C88" s="10"/>
    </row>
    <row r="89" spans="3:3" x14ac:dyDescent="0.25">
      <c r="C89" s="10"/>
    </row>
    <row r="90" spans="3:3" x14ac:dyDescent="0.25">
      <c r="C90" s="10"/>
    </row>
    <row r="91" spans="3:3" x14ac:dyDescent="0.25">
      <c r="C91" s="10"/>
    </row>
    <row r="92" spans="3:3" x14ac:dyDescent="0.25">
      <c r="C92" s="10"/>
    </row>
    <row r="93" spans="3:3" x14ac:dyDescent="0.25">
      <c r="C93" s="10"/>
    </row>
    <row r="1048559" spans="1:21" s="10" customFormat="1" x14ac:dyDescent="0.25">
      <c r="A1048559" s="9"/>
      <c r="B1048559" s="9"/>
      <c r="C1048559" s="9"/>
      <c r="D1048559" s="9"/>
      <c r="F1048559" s="9"/>
      <c r="H1048559" s="9"/>
      <c r="L1048559" s="9"/>
      <c r="M1048559" s="9"/>
      <c r="N1048559" s="9"/>
      <c r="O1048559" s="9"/>
      <c r="P1048559" s="9"/>
      <c r="Q1048559" s="9"/>
      <c r="R1048559" s="9"/>
      <c r="S1048559" s="9"/>
      <c r="T1048559" s="9"/>
      <c r="U1048559" s="9"/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730CE-F487-41CE-9F06-7D4E6ED3AE6B}">
  <dimension ref="A1:U1048557"/>
  <sheetViews>
    <sheetView workbookViewId="0">
      <pane ySplit="3" topLeftCell="A4" activePane="bottomLeft" state="frozen"/>
      <selection activeCell="K26" activeCellId="1" sqref="K29:K30 K26"/>
      <selection pane="bottomLeft" activeCell="A18" sqref="A18"/>
    </sheetView>
  </sheetViews>
  <sheetFormatPr baseColWidth="10" defaultColWidth="10.7109375" defaultRowHeight="15" x14ac:dyDescent="0.25"/>
  <cols>
    <col min="1" max="1" width="22.7109375" style="9" customWidth="1"/>
    <col min="2" max="2" width="59.7109375" style="9" customWidth="1"/>
    <col min="3" max="3" width="22.42578125" style="9" customWidth="1"/>
    <col min="4" max="4" width="37.5703125" style="9" customWidth="1"/>
    <col min="5" max="5" width="10.7109375" style="10"/>
    <col min="6" max="6" width="6.140625" style="9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5" s="11" customFormat="1" x14ac:dyDescent="0.25">
      <c r="A1" s="11" t="s">
        <v>0</v>
      </c>
      <c r="E1" s="12"/>
      <c r="G1" s="12"/>
      <c r="I1" s="12"/>
    </row>
    <row r="3" spans="1:15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29" t="s">
        <v>1382</v>
      </c>
      <c r="L3" s="11" t="s">
        <v>1381</v>
      </c>
    </row>
    <row r="4" spans="1:15" x14ac:dyDescent="0.25">
      <c r="A4" s="27" t="s">
        <v>1320</v>
      </c>
      <c r="B4" s="5" t="s">
        <v>1374</v>
      </c>
      <c r="C4" s="5" t="s">
        <v>27</v>
      </c>
      <c r="D4" s="5" t="s">
        <v>33</v>
      </c>
      <c r="E4" s="4">
        <v>300</v>
      </c>
      <c r="F4" s="5"/>
      <c r="G4" s="4" t="s">
        <v>37</v>
      </c>
      <c r="H4" s="4" t="s">
        <v>37</v>
      </c>
      <c r="I4" s="4">
        <v>0</v>
      </c>
      <c r="J4" s="4"/>
      <c r="K4" s="4">
        <f t="shared" ref="K4:K30" si="0">E4-I4</f>
        <v>300</v>
      </c>
      <c r="L4" s="5" t="s">
        <v>1375</v>
      </c>
      <c r="M4" s="5"/>
      <c r="N4" s="5"/>
      <c r="O4" s="5"/>
    </row>
    <row r="5" spans="1:15" x14ac:dyDescent="0.25">
      <c r="A5" s="5" t="s">
        <v>1379</v>
      </c>
      <c r="B5" s="5" t="s">
        <v>1380</v>
      </c>
      <c r="C5" s="5" t="s">
        <v>27</v>
      </c>
      <c r="D5" s="5" t="s">
        <v>33</v>
      </c>
      <c r="E5" s="4">
        <v>1300</v>
      </c>
      <c r="F5" s="5"/>
      <c r="G5" s="4" t="s">
        <v>178</v>
      </c>
      <c r="H5" s="4" t="s">
        <v>491</v>
      </c>
      <c r="I5" s="4">
        <v>600</v>
      </c>
      <c r="J5" s="4" t="s">
        <v>66</v>
      </c>
      <c r="K5" s="4">
        <f t="shared" ref="K5:K10" si="1">E5-I5</f>
        <v>700</v>
      </c>
      <c r="L5" s="5" t="s">
        <v>1383</v>
      </c>
      <c r="M5" s="5"/>
      <c r="N5" s="5"/>
      <c r="O5" s="5"/>
    </row>
    <row r="6" spans="1:15" x14ac:dyDescent="0.25">
      <c r="A6" s="5" t="s">
        <v>1379</v>
      </c>
      <c r="B6" s="5" t="s">
        <v>1397</v>
      </c>
      <c r="C6" s="5" t="s">
        <v>27</v>
      </c>
      <c r="D6" s="5" t="s">
        <v>33</v>
      </c>
      <c r="E6" s="4">
        <f>850+1500</f>
        <v>2350</v>
      </c>
      <c r="F6" s="5"/>
      <c r="G6" s="4" t="s">
        <v>1398</v>
      </c>
      <c r="H6" s="4" t="s">
        <v>1393</v>
      </c>
      <c r="I6" s="4">
        <v>700</v>
      </c>
      <c r="J6" s="4" t="s">
        <v>993</v>
      </c>
      <c r="K6" s="4">
        <f t="shared" si="1"/>
        <v>1650</v>
      </c>
      <c r="L6" s="5"/>
      <c r="M6" s="5"/>
      <c r="N6" s="5"/>
      <c r="O6" s="5"/>
    </row>
    <row r="7" spans="1:15" x14ac:dyDescent="0.25">
      <c r="A7" s="5" t="s">
        <v>1379</v>
      </c>
      <c r="B7" s="5" t="s">
        <v>1384</v>
      </c>
      <c r="C7" s="5" t="s">
        <v>27</v>
      </c>
      <c r="D7" s="5" t="s">
        <v>33</v>
      </c>
      <c r="E7" s="4">
        <v>800</v>
      </c>
      <c r="F7" s="5"/>
      <c r="G7" s="4" t="s">
        <v>37</v>
      </c>
      <c r="H7" s="4" t="s">
        <v>37</v>
      </c>
      <c r="I7" s="4">
        <v>300</v>
      </c>
      <c r="J7" s="4" t="s">
        <v>1386</v>
      </c>
      <c r="K7" s="4">
        <f t="shared" si="1"/>
        <v>500</v>
      </c>
      <c r="L7" s="5" t="s">
        <v>1385</v>
      </c>
      <c r="M7" s="5"/>
      <c r="N7" s="5"/>
      <c r="O7" s="5"/>
    </row>
    <row r="8" spans="1:15" x14ac:dyDescent="0.25">
      <c r="A8" s="5" t="s">
        <v>1379</v>
      </c>
      <c r="B8" s="5" t="s">
        <v>1396</v>
      </c>
      <c r="C8" s="5" t="s">
        <v>27</v>
      </c>
      <c r="D8" s="5" t="s">
        <v>33</v>
      </c>
      <c r="E8" s="4">
        <v>2600</v>
      </c>
      <c r="F8" s="5"/>
      <c r="G8" s="4" t="s">
        <v>1387</v>
      </c>
      <c r="H8" s="4" t="s">
        <v>491</v>
      </c>
      <c r="I8" s="4">
        <v>600</v>
      </c>
      <c r="J8" s="4" t="s">
        <v>66</v>
      </c>
      <c r="K8" s="4">
        <f t="shared" si="1"/>
        <v>2000</v>
      </c>
      <c r="L8" s="5"/>
      <c r="M8" s="5"/>
      <c r="N8" s="5"/>
      <c r="O8" s="5"/>
    </row>
    <row r="9" spans="1:15" x14ac:dyDescent="0.25">
      <c r="A9" s="5" t="s">
        <v>1379</v>
      </c>
      <c r="B9" s="5" t="s">
        <v>1388</v>
      </c>
      <c r="C9" s="5" t="s">
        <v>27</v>
      </c>
      <c r="D9" s="5" t="s">
        <v>33</v>
      </c>
      <c r="E9" s="4">
        <v>1600</v>
      </c>
      <c r="F9" s="5"/>
      <c r="G9" s="4" t="s">
        <v>1389</v>
      </c>
      <c r="H9" s="4" t="s">
        <v>491</v>
      </c>
      <c r="I9" s="4">
        <v>1000</v>
      </c>
      <c r="J9" s="4" t="s">
        <v>66</v>
      </c>
      <c r="K9" s="4">
        <f t="shared" si="1"/>
        <v>600</v>
      </c>
      <c r="L9" s="5"/>
      <c r="M9" s="5"/>
      <c r="N9" s="5"/>
    </row>
    <row r="10" spans="1:15" x14ac:dyDescent="0.25">
      <c r="A10" s="5" t="s">
        <v>1390</v>
      </c>
      <c r="B10" s="5" t="s">
        <v>1391</v>
      </c>
      <c r="C10" s="5" t="s">
        <v>27</v>
      </c>
      <c r="D10" s="5" t="s">
        <v>33</v>
      </c>
      <c r="E10" s="4">
        <v>3150</v>
      </c>
      <c r="F10" s="5"/>
      <c r="G10" s="4" t="s">
        <v>1392</v>
      </c>
      <c r="H10" s="4" t="s">
        <v>1393</v>
      </c>
      <c r="I10" s="4">
        <f>1200+500</f>
        <v>1700</v>
      </c>
      <c r="J10" s="4" t="s">
        <v>171</v>
      </c>
      <c r="K10" s="4">
        <f t="shared" si="1"/>
        <v>1450</v>
      </c>
      <c r="L10" s="9" t="s">
        <v>1394</v>
      </c>
    </row>
    <row r="11" spans="1:15" x14ac:dyDescent="0.25">
      <c r="A11" s="9" t="s">
        <v>1390</v>
      </c>
      <c r="B11" s="9" t="s">
        <v>1395</v>
      </c>
      <c r="C11" s="9" t="s">
        <v>27</v>
      </c>
      <c r="D11" s="9" t="s">
        <v>33</v>
      </c>
      <c r="H11" s="10"/>
      <c r="J11" s="10"/>
    </row>
    <row r="12" spans="1:15" x14ac:dyDescent="0.25">
      <c r="A12" s="5" t="s">
        <v>1399</v>
      </c>
      <c r="B12" s="5" t="s">
        <v>1400</v>
      </c>
      <c r="C12" s="5" t="s">
        <v>27</v>
      </c>
      <c r="D12" s="5" t="s">
        <v>1401</v>
      </c>
      <c r="E12" s="4">
        <v>700</v>
      </c>
      <c r="F12" s="5"/>
      <c r="G12" s="4" t="s">
        <v>37</v>
      </c>
      <c r="H12" s="4" t="s">
        <v>37</v>
      </c>
      <c r="I12" s="4">
        <v>0</v>
      </c>
      <c r="J12" s="4" t="s">
        <v>37</v>
      </c>
      <c r="K12" s="4">
        <f t="shared" ref="K12" si="2">E12-I12</f>
        <v>700</v>
      </c>
    </row>
    <row r="13" spans="1:15" x14ac:dyDescent="0.25">
      <c r="A13" s="9" t="s">
        <v>1399</v>
      </c>
      <c r="B13" s="9" t="s">
        <v>1402</v>
      </c>
      <c r="C13" s="9" t="s">
        <v>27</v>
      </c>
      <c r="D13" s="9" t="s">
        <v>1401</v>
      </c>
      <c r="G13" s="10" t="s">
        <v>37</v>
      </c>
      <c r="H13" s="10" t="s">
        <v>37</v>
      </c>
      <c r="I13" s="10">
        <v>0</v>
      </c>
      <c r="J13" s="10" t="s">
        <v>37</v>
      </c>
      <c r="K13" s="10">
        <f t="shared" ref="K13:K14" si="3">E13-I13</f>
        <v>0</v>
      </c>
    </row>
    <row r="14" spans="1:15" x14ac:dyDescent="0.25">
      <c r="A14" s="27" t="s">
        <v>1399</v>
      </c>
      <c r="B14" s="5" t="s">
        <v>1403</v>
      </c>
      <c r="C14" s="5" t="s">
        <v>27</v>
      </c>
      <c r="D14" s="5" t="s">
        <v>527</v>
      </c>
      <c r="E14" s="4">
        <v>1500</v>
      </c>
      <c r="F14" s="5"/>
      <c r="G14" s="4" t="s">
        <v>1404</v>
      </c>
      <c r="H14" s="4" t="s">
        <v>1405</v>
      </c>
      <c r="I14" s="4">
        <v>700</v>
      </c>
      <c r="J14" s="4" t="s">
        <v>37</v>
      </c>
      <c r="K14" s="4">
        <f t="shared" si="3"/>
        <v>800</v>
      </c>
      <c r="L14" s="9" t="s">
        <v>1406</v>
      </c>
    </row>
    <row r="15" spans="1:15" x14ac:dyDescent="0.25">
      <c r="A15" s="5" t="s">
        <v>1407</v>
      </c>
      <c r="B15" s="5" t="s">
        <v>718</v>
      </c>
      <c r="C15" s="5" t="s">
        <v>27</v>
      </c>
      <c r="D15" s="5" t="s">
        <v>33</v>
      </c>
      <c r="E15" s="4">
        <v>850</v>
      </c>
      <c r="F15" s="5"/>
      <c r="G15" s="4" t="s">
        <v>37</v>
      </c>
      <c r="H15" s="4" t="s">
        <v>37</v>
      </c>
      <c r="I15" s="4">
        <v>0</v>
      </c>
      <c r="J15" s="4" t="s">
        <v>37</v>
      </c>
      <c r="K15" s="4">
        <f t="shared" ref="K15:K22" si="4">E15-I15</f>
        <v>850</v>
      </c>
    </row>
    <row r="16" spans="1:15" x14ac:dyDescent="0.25">
      <c r="A16" s="5" t="s">
        <v>1407</v>
      </c>
      <c r="B16" s="5" t="s">
        <v>1408</v>
      </c>
      <c r="C16" s="5" t="s">
        <v>27</v>
      </c>
      <c r="D16" s="5" t="s">
        <v>33</v>
      </c>
      <c r="E16" s="4">
        <v>500</v>
      </c>
      <c r="F16" s="5"/>
      <c r="G16" s="4" t="s">
        <v>37</v>
      </c>
      <c r="H16" s="4" t="s">
        <v>37</v>
      </c>
      <c r="I16" s="4">
        <v>0</v>
      </c>
      <c r="J16" s="4" t="s">
        <v>37</v>
      </c>
      <c r="K16" s="4">
        <f t="shared" si="4"/>
        <v>500</v>
      </c>
    </row>
    <row r="17" spans="1:13" x14ac:dyDescent="0.25">
      <c r="A17" s="5" t="s">
        <v>1409</v>
      </c>
      <c r="B17" s="5" t="s">
        <v>1410</v>
      </c>
      <c r="C17" s="5" t="s">
        <v>27</v>
      </c>
      <c r="D17" s="5" t="s">
        <v>33</v>
      </c>
      <c r="E17" s="4">
        <v>1800</v>
      </c>
      <c r="F17" s="5"/>
      <c r="G17" s="4" t="s">
        <v>1333</v>
      </c>
      <c r="H17" s="4" t="s">
        <v>491</v>
      </c>
      <c r="I17" s="4">
        <v>500</v>
      </c>
      <c r="J17" s="4" t="s">
        <v>37</v>
      </c>
      <c r="K17" s="4">
        <f t="shared" si="4"/>
        <v>1300</v>
      </c>
      <c r="M17" s="5"/>
    </row>
    <row r="18" spans="1:13" x14ac:dyDescent="0.25">
      <c r="A18" s="5" t="s">
        <v>1376</v>
      </c>
      <c r="B18" s="5" t="s">
        <v>1412</v>
      </c>
      <c r="C18" s="5" t="s">
        <v>27</v>
      </c>
      <c r="D18" s="5" t="s">
        <v>33</v>
      </c>
      <c r="E18" s="4">
        <v>1100</v>
      </c>
      <c r="F18" s="5"/>
      <c r="G18" s="4" t="s">
        <v>1411</v>
      </c>
      <c r="H18" s="4" t="s">
        <v>491</v>
      </c>
      <c r="I18" s="4">
        <v>350</v>
      </c>
      <c r="J18" s="4" t="s">
        <v>37</v>
      </c>
      <c r="K18" s="4">
        <f t="shared" si="4"/>
        <v>750</v>
      </c>
    </row>
    <row r="19" spans="1:13" x14ac:dyDescent="0.25">
      <c r="A19" s="5" t="s">
        <v>1413</v>
      </c>
      <c r="B19" s="5" t="s">
        <v>1414</v>
      </c>
      <c r="C19" s="5" t="s">
        <v>27</v>
      </c>
      <c r="D19" s="5" t="s">
        <v>33</v>
      </c>
      <c r="E19" s="4">
        <v>1800</v>
      </c>
      <c r="F19" s="5"/>
      <c r="G19" s="4" t="s">
        <v>37</v>
      </c>
      <c r="H19" s="4" t="s">
        <v>37</v>
      </c>
      <c r="I19" s="4">
        <v>500</v>
      </c>
      <c r="J19" s="4" t="s">
        <v>66</v>
      </c>
      <c r="K19" s="4">
        <f t="shared" si="4"/>
        <v>1300</v>
      </c>
    </row>
    <row r="20" spans="1:13" x14ac:dyDescent="0.25">
      <c r="A20" s="5" t="s">
        <v>1415</v>
      </c>
      <c r="B20" s="5" t="s">
        <v>1416</v>
      </c>
      <c r="C20" s="5" t="s">
        <v>27</v>
      </c>
      <c r="D20" s="5" t="s">
        <v>527</v>
      </c>
      <c r="E20" s="4">
        <v>2900</v>
      </c>
      <c r="F20" s="5"/>
      <c r="G20" s="4" t="s">
        <v>1417</v>
      </c>
      <c r="H20" s="4" t="s">
        <v>491</v>
      </c>
      <c r="I20" s="4">
        <v>1000</v>
      </c>
      <c r="J20" s="4" t="s">
        <v>66</v>
      </c>
      <c r="K20" s="4">
        <f t="shared" si="4"/>
        <v>1900</v>
      </c>
    </row>
    <row r="21" spans="1:13" x14ac:dyDescent="0.25">
      <c r="A21" s="5" t="s">
        <v>1415</v>
      </c>
      <c r="B21" s="5" t="s">
        <v>1418</v>
      </c>
      <c r="C21" s="5" t="s">
        <v>27</v>
      </c>
      <c r="D21" s="5" t="s">
        <v>33</v>
      </c>
      <c r="E21" s="4">
        <v>1500</v>
      </c>
      <c r="F21" s="5"/>
      <c r="G21" s="4" t="s">
        <v>75</v>
      </c>
      <c r="H21" s="4" t="s">
        <v>491</v>
      </c>
      <c r="I21" s="4">
        <v>300</v>
      </c>
      <c r="J21" s="4" t="s">
        <v>66</v>
      </c>
      <c r="K21" s="4">
        <f t="shared" si="4"/>
        <v>1200</v>
      </c>
    </row>
    <row r="22" spans="1:13" x14ac:dyDescent="0.25">
      <c r="A22" s="5" t="s">
        <v>1419</v>
      </c>
      <c r="B22" s="5" t="s">
        <v>618</v>
      </c>
      <c r="C22" s="5" t="s">
        <v>27</v>
      </c>
      <c r="D22" s="5" t="s">
        <v>33</v>
      </c>
      <c r="E22" s="4">
        <v>850</v>
      </c>
      <c r="F22" s="5"/>
      <c r="G22" s="4" t="s">
        <v>37</v>
      </c>
      <c r="H22" s="4" t="s">
        <v>1420</v>
      </c>
      <c r="I22" s="4">
        <v>0</v>
      </c>
      <c r="J22" s="4" t="s">
        <v>37</v>
      </c>
      <c r="K22" s="4">
        <f t="shared" si="4"/>
        <v>850</v>
      </c>
    </row>
    <row r="23" spans="1:13" x14ac:dyDescent="0.25">
      <c r="H23" s="10"/>
      <c r="J23" s="10"/>
    </row>
    <row r="24" spans="1:13" x14ac:dyDescent="0.25">
      <c r="F24" s="16"/>
    </row>
    <row r="25" spans="1:13" x14ac:dyDescent="0.25">
      <c r="F25" s="16"/>
    </row>
    <row r="26" spans="1:13" x14ac:dyDescent="0.25">
      <c r="F26" s="16"/>
      <c r="H26" s="10"/>
      <c r="J26" s="10"/>
    </row>
    <row r="27" spans="1:13" x14ac:dyDescent="0.25">
      <c r="F27" s="16"/>
      <c r="J27" s="10"/>
    </row>
    <row r="28" spans="1:13" x14ac:dyDescent="0.25">
      <c r="F28" s="16"/>
      <c r="J28" s="10"/>
    </row>
    <row r="29" spans="1:13" x14ac:dyDescent="0.25">
      <c r="F29" s="16"/>
      <c r="J29" s="10"/>
    </row>
    <row r="30" spans="1:13" x14ac:dyDescent="0.25">
      <c r="F30" s="16"/>
      <c r="J30" s="10"/>
      <c r="K30" s="10">
        <f t="shared" si="0"/>
        <v>0</v>
      </c>
    </row>
    <row r="31" spans="1:13" x14ac:dyDescent="0.25">
      <c r="F31" s="16"/>
      <c r="J31" s="10"/>
    </row>
    <row r="32" spans="1:13" x14ac:dyDescent="0.25">
      <c r="F32" s="16"/>
      <c r="J32" s="10"/>
    </row>
    <row r="33" spans="1:21" s="11" customFormat="1" x14ac:dyDescent="0.25">
      <c r="E33" s="12"/>
      <c r="F33" s="17"/>
      <c r="G33" s="12"/>
      <c r="I33" s="12"/>
      <c r="K33" s="12"/>
    </row>
    <row r="34" spans="1:21" x14ac:dyDescent="0.25">
      <c r="F34" s="16"/>
    </row>
    <row r="35" spans="1:21" x14ac:dyDescent="0.25">
      <c r="A35" s="21" t="s">
        <v>1376</v>
      </c>
      <c r="B35" s="21" t="s">
        <v>1062</v>
      </c>
      <c r="C35" s="22">
        <v>3500</v>
      </c>
      <c r="H35" s="10"/>
      <c r="J35" s="10"/>
    </row>
    <row r="36" spans="1:21" s="10" customFormat="1" x14ac:dyDescent="0.25">
      <c r="A36" s="19" t="s">
        <v>1376</v>
      </c>
      <c r="B36" s="19" t="s">
        <v>1063</v>
      </c>
      <c r="C36" s="20">
        <v>4000</v>
      </c>
      <c r="D36" s="9"/>
      <c r="F36" s="16"/>
      <c r="H36" s="9"/>
      <c r="J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s="10" customFormat="1" x14ac:dyDescent="0.25">
      <c r="A37" s="21" t="s">
        <v>1377</v>
      </c>
      <c r="B37" s="21" t="s">
        <v>1062</v>
      </c>
      <c r="C37" s="22">
        <v>3500</v>
      </c>
      <c r="D37" s="9"/>
      <c r="F37" s="16"/>
      <c r="H37" s="9"/>
      <c r="J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s="10" customFormat="1" x14ac:dyDescent="0.25">
      <c r="A38" s="19" t="s">
        <v>1377</v>
      </c>
      <c r="B38" s="19" t="s">
        <v>1063</v>
      </c>
      <c r="C38" s="20">
        <v>4000</v>
      </c>
      <c r="D38" s="9"/>
      <c r="F38" s="16"/>
      <c r="H38" s="16"/>
      <c r="J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s="10" customFormat="1" x14ac:dyDescent="0.25">
      <c r="A39" s="19" t="s">
        <v>1377</v>
      </c>
      <c r="B39" s="19" t="s">
        <v>1292</v>
      </c>
      <c r="C39" s="20">
        <v>1500</v>
      </c>
      <c r="D39" s="9"/>
      <c r="F39" s="16"/>
      <c r="H39" s="16"/>
      <c r="J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 s="10" customFormat="1" x14ac:dyDescent="0.25">
      <c r="A40" s="19" t="s">
        <v>1378</v>
      </c>
      <c r="B40" s="19" t="s">
        <v>206</v>
      </c>
      <c r="C40" s="20">
        <v>6600</v>
      </c>
      <c r="D40" s="9"/>
      <c r="F40" s="9"/>
      <c r="H40" s="9"/>
      <c r="J40" s="9"/>
    </row>
    <row r="41" spans="1:21" s="10" customFormat="1" x14ac:dyDescent="0.25">
      <c r="A41" s="19" t="s">
        <v>1377</v>
      </c>
      <c r="B41" s="19" t="s">
        <v>648</v>
      </c>
      <c r="C41" s="20">
        <v>1000</v>
      </c>
      <c r="D41" s="9"/>
      <c r="F41" s="9"/>
      <c r="H41" s="9"/>
      <c r="J41" s="9"/>
    </row>
    <row r="42" spans="1:21" s="10" customFormat="1" x14ac:dyDescent="0.25">
      <c r="A42" s="19" t="s">
        <v>1377</v>
      </c>
      <c r="B42" s="19" t="s">
        <v>1026</v>
      </c>
      <c r="C42" s="20">
        <v>1500</v>
      </c>
      <c r="D42" s="9"/>
      <c r="F42" s="9"/>
      <c r="H42" s="9"/>
      <c r="J42" s="9"/>
    </row>
    <row r="43" spans="1:21" s="10" customFormat="1" x14ac:dyDescent="0.25">
      <c r="A43" s="21" t="s">
        <v>1377</v>
      </c>
      <c r="B43" s="5" t="s">
        <v>72</v>
      </c>
      <c r="C43" s="4">
        <v>550</v>
      </c>
      <c r="D43" s="9"/>
      <c r="F43" s="9"/>
      <c r="H43" s="9"/>
      <c r="J43" s="9"/>
    </row>
    <row r="44" spans="1:21" s="10" customFormat="1" x14ac:dyDescent="0.25">
      <c r="A44" s="21" t="s">
        <v>1377</v>
      </c>
      <c r="B44" s="21" t="s">
        <v>87</v>
      </c>
      <c r="C44" s="22">
        <v>5800</v>
      </c>
      <c r="D44" s="9"/>
      <c r="F44" s="9"/>
      <c r="H44" s="9"/>
      <c r="J44" s="9"/>
    </row>
    <row r="45" spans="1:21" s="10" customFormat="1" x14ac:dyDescent="0.25">
      <c r="A45" s="9"/>
      <c r="B45" s="19"/>
      <c r="C45" s="20"/>
      <c r="D45" s="9"/>
      <c r="F45" s="9"/>
      <c r="H45" s="9"/>
      <c r="J45" s="9"/>
    </row>
    <row r="46" spans="1:21" s="10" customFormat="1" x14ac:dyDescent="0.25">
      <c r="A46" s="9"/>
      <c r="B46" s="9"/>
      <c r="D46" s="9"/>
      <c r="F46" s="9"/>
      <c r="H46" s="9"/>
      <c r="J46" s="9"/>
    </row>
    <row r="47" spans="1:21" s="10" customFormat="1" x14ac:dyDescent="0.25">
      <c r="A47" s="9"/>
      <c r="B47" s="9"/>
      <c r="D47" s="9"/>
      <c r="F47" s="9"/>
    </row>
    <row r="48" spans="1:21" s="10" customFormat="1" x14ac:dyDescent="0.25">
      <c r="A48" s="9"/>
      <c r="B48" s="9"/>
      <c r="D48" s="9"/>
      <c r="F48" s="9"/>
    </row>
    <row r="49" spans="1:10" s="10" customFormat="1" x14ac:dyDescent="0.25">
      <c r="A49" s="9"/>
      <c r="B49" s="9"/>
      <c r="D49" s="9"/>
      <c r="F49" s="9"/>
    </row>
    <row r="50" spans="1:10" s="10" customFormat="1" x14ac:dyDescent="0.25">
      <c r="A50" s="9"/>
      <c r="B50" s="9"/>
      <c r="D50" s="9"/>
      <c r="F50" s="9"/>
    </row>
    <row r="51" spans="1:10" s="10" customFormat="1" x14ac:dyDescent="0.25">
      <c r="A51" s="9"/>
      <c r="B51" s="9"/>
      <c r="C51" s="9"/>
      <c r="D51" s="9"/>
      <c r="F51" s="9"/>
    </row>
    <row r="52" spans="1:10" s="10" customFormat="1" x14ac:dyDescent="0.25"/>
    <row r="53" spans="1:10" s="10" customFormat="1" x14ac:dyDescent="0.25"/>
    <row r="54" spans="1:10" s="10" customFormat="1" x14ac:dyDescent="0.25"/>
    <row r="55" spans="1:10" s="10" customFormat="1" x14ac:dyDescent="0.25"/>
    <row r="56" spans="1:10" s="10" customFormat="1" x14ac:dyDescent="0.25"/>
    <row r="57" spans="1:10" s="10" customFormat="1" x14ac:dyDescent="0.25"/>
    <row r="58" spans="1:10" s="10" customFormat="1" x14ac:dyDescent="0.25"/>
    <row r="59" spans="1:10" s="10" customFormat="1" x14ac:dyDescent="0.25">
      <c r="H59" s="9"/>
      <c r="J59" s="9"/>
    </row>
    <row r="60" spans="1:10" s="10" customFormat="1" x14ac:dyDescent="0.25">
      <c r="H60" s="9"/>
      <c r="J60" s="9"/>
    </row>
    <row r="61" spans="1:10" s="10" customFormat="1" x14ac:dyDescent="0.25">
      <c r="H61" s="9"/>
      <c r="J61" s="9"/>
    </row>
    <row r="62" spans="1:10" s="10" customFormat="1" x14ac:dyDescent="0.25">
      <c r="H62" s="9"/>
      <c r="J62" s="9"/>
    </row>
    <row r="63" spans="1:10" s="10" customFormat="1" x14ac:dyDescent="0.25">
      <c r="H63" s="9"/>
      <c r="J63" s="9"/>
    </row>
    <row r="64" spans="1:10" s="10" customFormat="1" x14ac:dyDescent="0.25">
      <c r="H64" s="9"/>
      <c r="J64" s="9"/>
    </row>
    <row r="65" spans="1:11" s="10" customFormat="1" x14ac:dyDescent="0.25">
      <c r="H65" s="9"/>
      <c r="J65" s="9"/>
    </row>
    <row r="66" spans="1:11" s="10" customFormat="1" x14ac:dyDescent="0.25">
      <c r="H66" s="9"/>
      <c r="J66" s="9"/>
    </row>
    <row r="67" spans="1:11" s="10" customFormat="1" x14ac:dyDescent="0.25">
      <c r="H67" s="9"/>
      <c r="J67" s="9"/>
    </row>
    <row r="68" spans="1:11" s="10" customFormat="1" x14ac:dyDescent="0.25">
      <c r="H68" s="9"/>
      <c r="J68" s="9"/>
    </row>
    <row r="69" spans="1:11" s="10" customFormat="1" x14ac:dyDescent="0.25">
      <c r="H69" s="9"/>
      <c r="J69" s="9"/>
    </row>
    <row r="70" spans="1:11" s="10" customFormat="1" x14ac:dyDescent="0.25">
      <c r="H70" s="9"/>
      <c r="J70" s="9"/>
    </row>
    <row r="71" spans="1:11" s="10" customFormat="1" x14ac:dyDescent="0.25">
      <c r="H71" s="9"/>
      <c r="J71" s="9"/>
    </row>
    <row r="72" spans="1:11" s="10" customFormat="1" x14ac:dyDescent="0.25">
      <c r="H72" s="9"/>
      <c r="J72" s="9"/>
    </row>
    <row r="73" spans="1:11" s="11" customFormat="1" x14ac:dyDescent="0.25">
      <c r="C73" s="12"/>
      <c r="E73" s="12"/>
      <c r="G73" s="12"/>
      <c r="I73" s="12"/>
      <c r="K73" s="12"/>
    </row>
    <row r="74" spans="1:11" x14ac:dyDescent="0.25">
      <c r="C74" s="10"/>
    </row>
    <row r="75" spans="1:11" x14ac:dyDescent="0.25">
      <c r="A75" s="13"/>
      <c r="C75" s="10"/>
    </row>
    <row r="76" spans="1:11" x14ac:dyDescent="0.25">
      <c r="C76" s="10"/>
    </row>
    <row r="77" spans="1:11" x14ac:dyDescent="0.25">
      <c r="C77" s="10"/>
    </row>
    <row r="78" spans="1:11" x14ac:dyDescent="0.25">
      <c r="C78" s="10"/>
    </row>
    <row r="79" spans="1:11" x14ac:dyDescent="0.25">
      <c r="C79" s="10"/>
    </row>
    <row r="80" spans="1:11" x14ac:dyDescent="0.25"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84" spans="3:3" x14ac:dyDescent="0.25">
      <c r="C84" s="10"/>
    </row>
    <row r="85" spans="3:3" x14ac:dyDescent="0.25">
      <c r="C85" s="10"/>
    </row>
    <row r="86" spans="3:3" x14ac:dyDescent="0.25">
      <c r="C86" s="10"/>
    </row>
    <row r="87" spans="3:3" x14ac:dyDescent="0.25">
      <c r="C87" s="10"/>
    </row>
    <row r="88" spans="3:3" x14ac:dyDescent="0.25">
      <c r="C88" s="10"/>
    </row>
    <row r="89" spans="3:3" x14ac:dyDescent="0.25">
      <c r="C89" s="10"/>
    </row>
    <row r="90" spans="3:3" x14ac:dyDescent="0.25">
      <c r="C90" s="10"/>
    </row>
    <row r="91" spans="3:3" x14ac:dyDescent="0.25">
      <c r="C91" s="10"/>
    </row>
    <row r="1048557" spans="1:21" s="10" customFormat="1" x14ac:dyDescent="0.25">
      <c r="A1048557" s="9"/>
      <c r="B1048557" s="9"/>
      <c r="C1048557" s="9"/>
      <c r="D1048557" s="9"/>
      <c r="F1048557" s="9"/>
      <c r="H1048557" s="9"/>
      <c r="L1048557" s="9"/>
      <c r="M1048557" s="9"/>
      <c r="N1048557" s="9"/>
      <c r="O1048557" s="9"/>
      <c r="P1048557" s="9"/>
      <c r="Q1048557" s="9"/>
      <c r="R1048557" s="9"/>
      <c r="S1048557" s="9"/>
      <c r="T1048557" s="9"/>
      <c r="U1048557" s="9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85BBA-919D-4C0C-ADD2-01166818E5B0}">
  <dimension ref="A1:U1048557"/>
  <sheetViews>
    <sheetView workbookViewId="0">
      <pane ySplit="3" topLeftCell="A9" activePane="bottomLeft" state="frozen"/>
      <selection activeCell="K26" activeCellId="1" sqref="K29:K30 K26"/>
      <selection pane="bottomLeft" activeCell="A15" sqref="A15"/>
    </sheetView>
  </sheetViews>
  <sheetFormatPr baseColWidth="10" defaultColWidth="10.7109375" defaultRowHeight="15" x14ac:dyDescent="0.25"/>
  <cols>
    <col min="1" max="1" width="22.7109375" style="9" customWidth="1"/>
    <col min="2" max="2" width="59.7109375" style="9" customWidth="1"/>
    <col min="3" max="3" width="22.42578125" style="9" customWidth="1"/>
    <col min="4" max="4" width="37.5703125" style="9" customWidth="1"/>
    <col min="5" max="5" width="10.7109375" style="10"/>
    <col min="6" max="6" width="6.140625" style="9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4" s="11" customFormat="1" x14ac:dyDescent="0.25">
      <c r="A1" s="11" t="s">
        <v>0</v>
      </c>
      <c r="E1" s="12"/>
      <c r="G1" s="12"/>
      <c r="I1" s="12"/>
    </row>
    <row r="3" spans="1:14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29" t="s">
        <v>1382</v>
      </c>
      <c r="L3" s="11" t="s">
        <v>1381</v>
      </c>
    </row>
    <row r="4" spans="1:14" x14ac:dyDescent="0.25">
      <c r="A4" s="27" t="s">
        <v>1421</v>
      </c>
      <c r="B4" s="5" t="s">
        <v>1429</v>
      </c>
      <c r="C4" s="5" t="s">
        <v>27</v>
      </c>
      <c r="D4" s="5" t="s">
        <v>33</v>
      </c>
      <c r="E4" s="4">
        <v>600</v>
      </c>
      <c r="F4" s="5"/>
      <c r="G4" s="4" t="s">
        <v>37</v>
      </c>
      <c r="H4" s="4" t="s">
        <v>37</v>
      </c>
      <c r="I4" s="4">
        <v>0</v>
      </c>
      <c r="J4" s="4" t="s">
        <v>37</v>
      </c>
      <c r="K4" s="4">
        <f t="shared" ref="K4:K30" si="0">E4-I4</f>
        <v>600</v>
      </c>
      <c r="L4" s="5" t="s">
        <v>1425</v>
      </c>
      <c r="M4" s="5"/>
      <c r="N4" s="5"/>
    </row>
    <row r="5" spans="1:14" x14ac:dyDescent="0.25">
      <c r="A5" s="5" t="s">
        <v>1421</v>
      </c>
      <c r="B5" s="5" t="s">
        <v>1422</v>
      </c>
      <c r="C5" s="5" t="s">
        <v>27</v>
      </c>
      <c r="D5" s="5" t="s">
        <v>33</v>
      </c>
      <c r="E5" s="4">
        <v>3300</v>
      </c>
      <c r="F5" s="5"/>
      <c r="G5" s="4" t="s">
        <v>898</v>
      </c>
      <c r="H5" s="28" t="s">
        <v>1423</v>
      </c>
      <c r="I5" s="4">
        <v>1200</v>
      </c>
      <c r="J5" s="4" t="s">
        <v>66</v>
      </c>
      <c r="K5" s="4">
        <f t="shared" si="0"/>
        <v>2100</v>
      </c>
      <c r="L5" s="9" t="s">
        <v>1424</v>
      </c>
    </row>
    <row r="6" spans="1:14" x14ac:dyDescent="0.25">
      <c r="A6" s="5" t="s">
        <v>1423</v>
      </c>
      <c r="B6" s="5" t="s">
        <v>1426</v>
      </c>
      <c r="C6" s="5" t="s">
        <v>27</v>
      </c>
      <c r="D6" s="5" t="s">
        <v>33</v>
      </c>
      <c r="E6" s="4">
        <v>1500</v>
      </c>
      <c r="F6" s="5"/>
      <c r="G6" s="4" t="s">
        <v>37</v>
      </c>
      <c r="H6" s="4" t="s">
        <v>37</v>
      </c>
      <c r="I6" s="4">
        <v>0</v>
      </c>
      <c r="J6" s="4" t="s">
        <v>37</v>
      </c>
      <c r="K6" s="4">
        <f t="shared" si="0"/>
        <v>1500</v>
      </c>
    </row>
    <row r="7" spans="1:14" x14ac:dyDescent="0.25">
      <c r="A7" s="5" t="s">
        <v>1427</v>
      </c>
      <c r="B7" s="5" t="s">
        <v>1428</v>
      </c>
      <c r="C7" s="5" t="s">
        <v>27</v>
      </c>
      <c r="D7" s="5" t="s">
        <v>33</v>
      </c>
      <c r="E7" s="4"/>
      <c r="F7" s="5"/>
      <c r="G7" s="4"/>
      <c r="H7" s="4"/>
      <c r="I7" s="4"/>
      <c r="J7" s="4" t="s">
        <v>37</v>
      </c>
      <c r="K7" s="4">
        <f t="shared" si="0"/>
        <v>0</v>
      </c>
    </row>
    <row r="8" spans="1:14" x14ac:dyDescent="0.25">
      <c r="A8" s="5" t="s">
        <v>1427</v>
      </c>
      <c r="B8" s="5" t="s">
        <v>1430</v>
      </c>
      <c r="C8" s="5" t="s">
        <v>27</v>
      </c>
      <c r="D8" s="5" t="s">
        <v>33</v>
      </c>
      <c r="E8" s="4">
        <v>2800</v>
      </c>
      <c r="F8" s="5"/>
      <c r="G8" s="4" t="s">
        <v>898</v>
      </c>
      <c r="H8" s="28" t="s">
        <v>1423</v>
      </c>
      <c r="I8" s="4">
        <v>1200</v>
      </c>
      <c r="J8" s="4" t="s">
        <v>66</v>
      </c>
      <c r="K8" s="4">
        <f t="shared" si="0"/>
        <v>1600</v>
      </c>
      <c r="L8" s="9" t="s">
        <v>1424</v>
      </c>
    </row>
    <row r="9" spans="1:14" x14ac:dyDescent="0.25">
      <c r="A9" s="5" t="s">
        <v>1431</v>
      </c>
      <c r="B9" s="5" t="s">
        <v>1432</v>
      </c>
      <c r="C9" s="5" t="s">
        <v>27</v>
      </c>
      <c r="D9" s="5" t="s">
        <v>33</v>
      </c>
      <c r="E9" s="4">
        <v>1500</v>
      </c>
      <c r="F9" s="5"/>
      <c r="G9" s="4" t="s">
        <v>75</v>
      </c>
      <c r="H9" s="4" t="s">
        <v>1423</v>
      </c>
      <c r="I9" s="4">
        <v>300</v>
      </c>
      <c r="J9" s="4" t="s">
        <v>66</v>
      </c>
      <c r="K9" s="4">
        <f t="shared" si="0"/>
        <v>1200</v>
      </c>
      <c r="L9" s="5" t="s">
        <v>1433</v>
      </c>
    </row>
    <row r="10" spans="1:14" x14ac:dyDescent="0.25">
      <c r="A10" s="5" t="s">
        <v>1434</v>
      </c>
      <c r="B10" s="5" t="s">
        <v>1435</v>
      </c>
      <c r="C10" s="5" t="s">
        <v>27</v>
      </c>
      <c r="D10" s="5" t="s">
        <v>33</v>
      </c>
      <c r="E10" s="4">
        <v>2000</v>
      </c>
      <c r="F10" s="5"/>
      <c r="G10" s="4" t="s">
        <v>1436</v>
      </c>
      <c r="H10" s="4" t="s">
        <v>1434</v>
      </c>
      <c r="I10" s="4">
        <v>700</v>
      </c>
      <c r="J10" s="4" t="s">
        <v>66</v>
      </c>
      <c r="K10" s="4">
        <f t="shared" si="0"/>
        <v>1300</v>
      </c>
    </row>
    <row r="11" spans="1:14" x14ac:dyDescent="0.25">
      <c r="A11" s="5" t="s">
        <v>1437</v>
      </c>
      <c r="B11" s="5" t="s">
        <v>1438</v>
      </c>
      <c r="C11" s="5" t="s">
        <v>27</v>
      </c>
      <c r="D11" s="5" t="s">
        <v>33</v>
      </c>
      <c r="E11" s="4">
        <v>700</v>
      </c>
      <c r="F11" s="5"/>
      <c r="G11" s="4" t="s">
        <v>131</v>
      </c>
      <c r="H11" s="4" t="s">
        <v>1437</v>
      </c>
      <c r="I11" s="4">
        <v>0</v>
      </c>
      <c r="J11" s="4" t="s">
        <v>66</v>
      </c>
      <c r="K11" s="4">
        <f t="shared" si="0"/>
        <v>700</v>
      </c>
    </row>
    <row r="12" spans="1:14" x14ac:dyDescent="0.25">
      <c r="A12" s="9" t="s">
        <v>1437</v>
      </c>
      <c r="B12" s="9" t="s">
        <v>1439</v>
      </c>
      <c r="C12" s="9" t="s">
        <v>27</v>
      </c>
      <c r="D12" s="9" t="s">
        <v>33</v>
      </c>
      <c r="E12" s="10">
        <f>1600+500</f>
        <v>2100</v>
      </c>
      <c r="G12" s="10" t="s">
        <v>839</v>
      </c>
      <c r="H12" s="10" t="s">
        <v>1437</v>
      </c>
      <c r="I12" s="10">
        <v>1300</v>
      </c>
      <c r="J12" s="10" t="s">
        <v>65</v>
      </c>
      <c r="K12" s="10">
        <f t="shared" ref="K12:K22" si="1">E12-I12</f>
        <v>800</v>
      </c>
    </row>
    <row r="13" spans="1:14" x14ac:dyDescent="0.25">
      <c r="E13" s="10" t="s">
        <v>1440</v>
      </c>
      <c r="H13" s="10"/>
      <c r="J13" s="10"/>
    </row>
    <row r="14" spans="1:14" x14ac:dyDescent="0.25">
      <c r="A14" s="27" t="s">
        <v>1441</v>
      </c>
      <c r="B14" s="5" t="s">
        <v>1443</v>
      </c>
      <c r="C14" s="5" t="s">
        <v>27</v>
      </c>
      <c r="D14" s="5" t="s">
        <v>33</v>
      </c>
      <c r="E14" s="4">
        <v>850</v>
      </c>
      <c r="F14" s="5"/>
      <c r="G14" s="4" t="s">
        <v>37</v>
      </c>
      <c r="H14" s="4" t="s">
        <v>37</v>
      </c>
      <c r="I14" s="4">
        <v>0</v>
      </c>
      <c r="J14" s="4" t="s">
        <v>37</v>
      </c>
      <c r="K14" s="4">
        <f t="shared" si="1"/>
        <v>850</v>
      </c>
    </row>
    <row r="15" spans="1:14" x14ac:dyDescent="0.25">
      <c r="H15" s="10"/>
      <c r="J15" s="10"/>
      <c r="K15" s="10">
        <f t="shared" si="1"/>
        <v>0</v>
      </c>
    </row>
    <row r="16" spans="1:14" x14ac:dyDescent="0.25">
      <c r="H16" s="10"/>
      <c r="J16" s="10"/>
      <c r="K16" s="10">
        <f t="shared" si="1"/>
        <v>0</v>
      </c>
    </row>
    <row r="17" spans="6:11" x14ac:dyDescent="0.25">
      <c r="H17" s="10"/>
      <c r="J17" s="10"/>
      <c r="K17" s="10">
        <f t="shared" si="1"/>
        <v>0</v>
      </c>
    </row>
    <row r="18" spans="6:11" x14ac:dyDescent="0.25">
      <c r="H18" s="10"/>
      <c r="J18" s="10"/>
      <c r="K18" s="10">
        <f t="shared" si="1"/>
        <v>0</v>
      </c>
    </row>
    <row r="19" spans="6:11" x14ac:dyDescent="0.25">
      <c r="H19" s="10"/>
      <c r="J19" s="10"/>
      <c r="K19" s="10">
        <f t="shared" si="1"/>
        <v>0</v>
      </c>
    </row>
    <row r="20" spans="6:11" x14ac:dyDescent="0.25">
      <c r="H20" s="10"/>
      <c r="J20" s="10"/>
      <c r="K20" s="10">
        <f t="shared" si="1"/>
        <v>0</v>
      </c>
    </row>
    <row r="21" spans="6:11" x14ac:dyDescent="0.25">
      <c r="H21" s="10"/>
      <c r="J21" s="10"/>
      <c r="K21" s="10">
        <f t="shared" si="1"/>
        <v>0</v>
      </c>
    </row>
    <row r="22" spans="6:11" x14ac:dyDescent="0.25">
      <c r="H22" s="10"/>
      <c r="J22" s="10"/>
      <c r="K22" s="10">
        <f t="shared" si="1"/>
        <v>0</v>
      </c>
    </row>
    <row r="23" spans="6:11" x14ac:dyDescent="0.25">
      <c r="H23" s="10"/>
      <c r="J23" s="10"/>
    </row>
    <row r="24" spans="6:11" x14ac:dyDescent="0.25">
      <c r="F24" s="16"/>
    </row>
    <row r="25" spans="6:11" x14ac:dyDescent="0.25">
      <c r="F25" s="16"/>
    </row>
    <row r="26" spans="6:11" x14ac:dyDescent="0.25">
      <c r="F26" s="16"/>
      <c r="H26" s="10"/>
      <c r="J26" s="10"/>
    </row>
    <row r="27" spans="6:11" x14ac:dyDescent="0.25">
      <c r="F27" s="16"/>
      <c r="J27" s="10"/>
    </row>
    <row r="28" spans="6:11" x14ac:dyDescent="0.25">
      <c r="F28" s="16"/>
      <c r="J28" s="10"/>
    </row>
    <row r="29" spans="6:11" x14ac:dyDescent="0.25">
      <c r="F29" s="16"/>
      <c r="J29" s="10"/>
    </row>
    <row r="30" spans="6:11" x14ac:dyDescent="0.25">
      <c r="F30" s="16"/>
      <c r="J30" s="10"/>
      <c r="K30" s="10">
        <f t="shared" si="0"/>
        <v>0</v>
      </c>
    </row>
    <row r="31" spans="6:11" x14ac:dyDescent="0.25">
      <c r="F31" s="16"/>
      <c r="J31" s="10"/>
    </row>
    <row r="32" spans="6:11" x14ac:dyDescent="0.25">
      <c r="F32" s="16"/>
      <c r="J32" s="10"/>
    </row>
    <row r="33" spans="1:21" s="11" customFormat="1" x14ac:dyDescent="0.25">
      <c r="E33" s="12"/>
      <c r="F33" s="17"/>
      <c r="G33" s="12"/>
      <c r="I33" s="12"/>
      <c r="K33" s="12"/>
    </row>
    <row r="34" spans="1:21" x14ac:dyDescent="0.25">
      <c r="F34" s="16"/>
    </row>
    <row r="35" spans="1:21" x14ac:dyDescent="0.25">
      <c r="A35" s="21" t="s">
        <v>1441</v>
      </c>
      <c r="B35" s="21" t="s">
        <v>1062</v>
      </c>
      <c r="C35" s="22">
        <v>3500</v>
      </c>
      <c r="H35" s="10"/>
      <c r="J35" s="10"/>
    </row>
    <row r="36" spans="1:21" s="10" customFormat="1" x14ac:dyDescent="0.25">
      <c r="A36" s="19" t="s">
        <v>1441</v>
      </c>
      <c r="B36" s="19" t="s">
        <v>1063</v>
      </c>
      <c r="C36" s="20">
        <v>4000</v>
      </c>
      <c r="D36" s="9"/>
      <c r="F36" s="16"/>
      <c r="H36" s="9"/>
      <c r="J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s="10" customFormat="1" x14ac:dyDescent="0.25">
      <c r="A37" s="19" t="s">
        <v>1442</v>
      </c>
      <c r="B37" s="19" t="s">
        <v>1062</v>
      </c>
      <c r="C37" s="20">
        <v>3500</v>
      </c>
      <c r="D37" s="9"/>
      <c r="F37" s="16"/>
      <c r="H37" s="9"/>
      <c r="J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s="10" customFormat="1" x14ac:dyDescent="0.25">
      <c r="A38" s="19" t="s">
        <v>1442</v>
      </c>
      <c r="B38" s="19" t="s">
        <v>1063</v>
      </c>
      <c r="C38" s="20">
        <v>4000</v>
      </c>
      <c r="D38" s="9"/>
      <c r="F38" s="16"/>
      <c r="H38" s="16"/>
      <c r="J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s="10" customFormat="1" x14ac:dyDescent="0.25">
      <c r="A39" s="19" t="s">
        <v>1442</v>
      </c>
      <c r="B39" s="19" t="s">
        <v>1292</v>
      </c>
      <c r="C39" s="20">
        <v>1500</v>
      </c>
      <c r="D39" s="9"/>
      <c r="F39" s="16"/>
      <c r="H39" s="16"/>
      <c r="J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 s="10" customFormat="1" x14ac:dyDescent="0.25">
      <c r="A40" s="19" t="s">
        <v>1442</v>
      </c>
      <c r="B40" s="19" t="s">
        <v>206</v>
      </c>
      <c r="C40" s="20">
        <v>6600</v>
      </c>
      <c r="D40" s="9"/>
      <c r="F40" s="9"/>
      <c r="H40" s="9"/>
      <c r="J40" s="9"/>
    </row>
    <row r="41" spans="1:21" s="10" customFormat="1" x14ac:dyDescent="0.25">
      <c r="A41" s="19" t="s">
        <v>1442</v>
      </c>
      <c r="B41" s="19" t="s">
        <v>648</v>
      </c>
      <c r="C41" s="20">
        <v>1000</v>
      </c>
      <c r="D41" s="9"/>
      <c r="F41" s="9"/>
      <c r="H41" s="9"/>
      <c r="J41" s="9"/>
    </row>
    <row r="42" spans="1:21" s="10" customFormat="1" x14ac:dyDescent="0.25">
      <c r="A42" s="19" t="s">
        <v>1442</v>
      </c>
      <c r="B42" s="19" t="s">
        <v>1026</v>
      </c>
      <c r="C42" s="20">
        <v>1500</v>
      </c>
      <c r="D42" s="9"/>
      <c r="F42" s="9"/>
      <c r="H42" s="9"/>
      <c r="J42" s="9"/>
    </row>
    <row r="43" spans="1:21" s="10" customFormat="1" x14ac:dyDescent="0.25">
      <c r="A43" s="21" t="s">
        <v>1442</v>
      </c>
      <c r="B43" s="5" t="s">
        <v>72</v>
      </c>
      <c r="C43" s="4">
        <v>550</v>
      </c>
      <c r="D43" s="9"/>
      <c r="F43" s="9"/>
      <c r="H43" s="9"/>
      <c r="J43" s="9"/>
    </row>
    <row r="44" spans="1:21" s="10" customFormat="1" x14ac:dyDescent="0.25">
      <c r="A44" s="21"/>
      <c r="B44" s="21"/>
      <c r="C44" s="22"/>
      <c r="D44" s="9"/>
      <c r="F44" s="9"/>
      <c r="H44" s="9"/>
      <c r="J44" s="9"/>
    </row>
    <row r="45" spans="1:21" s="10" customFormat="1" x14ac:dyDescent="0.25">
      <c r="A45" s="9"/>
      <c r="B45" s="19"/>
      <c r="C45" s="20"/>
      <c r="D45" s="9"/>
      <c r="F45" s="9"/>
      <c r="H45" s="9"/>
      <c r="J45" s="9"/>
    </row>
    <row r="46" spans="1:21" s="10" customFormat="1" x14ac:dyDescent="0.25">
      <c r="A46" s="9"/>
      <c r="B46" s="9"/>
      <c r="D46" s="9"/>
      <c r="F46" s="9"/>
      <c r="H46" s="9"/>
      <c r="J46" s="9"/>
    </row>
    <row r="47" spans="1:21" s="10" customFormat="1" x14ac:dyDescent="0.25">
      <c r="A47" s="9"/>
      <c r="B47" s="9"/>
      <c r="D47" s="9"/>
      <c r="F47" s="9"/>
    </row>
    <row r="48" spans="1:21" s="10" customFormat="1" x14ac:dyDescent="0.25">
      <c r="A48" s="9"/>
      <c r="B48" s="9"/>
      <c r="D48" s="9"/>
      <c r="F48" s="9"/>
    </row>
    <row r="49" spans="1:10" s="10" customFormat="1" x14ac:dyDescent="0.25">
      <c r="A49" s="9"/>
      <c r="B49" s="9"/>
      <c r="D49" s="9"/>
      <c r="F49" s="9"/>
    </row>
    <row r="50" spans="1:10" s="10" customFormat="1" x14ac:dyDescent="0.25">
      <c r="A50" s="9"/>
      <c r="B50" s="9"/>
      <c r="D50" s="9"/>
      <c r="F50" s="9"/>
    </row>
    <row r="51" spans="1:10" s="10" customFormat="1" x14ac:dyDescent="0.25">
      <c r="A51" s="9"/>
      <c r="B51" s="9"/>
      <c r="C51" s="9"/>
      <c r="D51" s="9"/>
      <c r="F51" s="9"/>
    </row>
    <row r="52" spans="1:10" s="10" customFormat="1" x14ac:dyDescent="0.25"/>
    <row r="53" spans="1:10" s="10" customFormat="1" x14ac:dyDescent="0.25"/>
    <row r="54" spans="1:10" s="10" customFormat="1" x14ac:dyDescent="0.25"/>
    <row r="55" spans="1:10" s="10" customFormat="1" x14ac:dyDescent="0.25"/>
    <row r="56" spans="1:10" s="10" customFormat="1" x14ac:dyDescent="0.25"/>
    <row r="57" spans="1:10" s="10" customFormat="1" x14ac:dyDescent="0.25"/>
    <row r="58" spans="1:10" s="10" customFormat="1" x14ac:dyDescent="0.25"/>
    <row r="59" spans="1:10" s="10" customFormat="1" x14ac:dyDescent="0.25">
      <c r="H59" s="9"/>
      <c r="J59" s="9"/>
    </row>
    <row r="60" spans="1:10" s="10" customFormat="1" x14ac:dyDescent="0.25">
      <c r="H60" s="9"/>
      <c r="J60" s="9"/>
    </row>
    <row r="61" spans="1:10" s="10" customFormat="1" x14ac:dyDescent="0.25">
      <c r="H61" s="9"/>
      <c r="J61" s="9"/>
    </row>
    <row r="62" spans="1:10" s="10" customFormat="1" x14ac:dyDescent="0.25">
      <c r="H62" s="9"/>
      <c r="J62" s="9"/>
    </row>
    <row r="63" spans="1:10" s="10" customFormat="1" x14ac:dyDescent="0.25">
      <c r="H63" s="9"/>
      <c r="J63" s="9"/>
    </row>
    <row r="64" spans="1:10" s="10" customFormat="1" x14ac:dyDescent="0.25">
      <c r="H64" s="9"/>
      <c r="J64" s="9"/>
    </row>
    <row r="65" spans="1:11" s="10" customFormat="1" x14ac:dyDescent="0.25">
      <c r="H65" s="9"/>
      <c r="J65" s="9"/>
    </row>
    <row r="66" spans="1:11" s="10" customFormat="1" x14ac:dyDescent="0.25">
      <c r="H66" s="9"/>
      <c r="J66" s="9"/>
    </row>
    <row r="67" spans="1:11" s="10" customFormat="1" x14ac:dyDescent="0.25">
      <c r="H67" s="9"/>
      <c r="J67" s="9"/>
    </row>
    <row r="68" spans="1:11" s="10" customFormat="1" x14ac:dyDescent="0.25">
      <c r="H68" s="9"/>
      <c r="J68" s="9"/>
    </row>
    <row r="69" spans="1:11" s="10" customFormat="1" x14ac:dyDescent="0.25">
      <c r="H69" s="9"/>
      <c r="J69" s="9"/>
    </row>
    <row r="70" spans="1:11" s="10" customFormat="1" x14ac:dyDescent="0.25">
      <c r="H70" s="9"/>
      <c r="J70" s="9"/>
    </row>
    <row r="71" spans="1:11" s="10" customFormat="1" x14ac:dyDescent="0.25">
      <c r="H71" s="9"/>
      <c r="J71" s="9"/>
    </row>
    <row r="72" spans="1:11" s="10" customFormat="1" x14ac:dyDescent="0.25">
      <c r="H72" s="9"/>
      <c r="J72" s="9"/>
    </row>
    <row r="73" spans="1:11" s="11" customFormat="1" x14ac:dyDescent="0.25">
      <c r="C73" s="12"/>
      <c r="E73" s="12"/>
      <c r="G73" s="12"/>
      <c r="I73" s="12"/>
      <c r="K73" s="12"/>
    </row>
    <row r="74" spans="1:11" x14ac:dyDescent="0.25">
      <c r="C74" s="10"/>
    </row>
    <row r="75" spans="1:11" x14ac:dyDescent="0.25">
      <c r="A75" s="13"/>
      <c r="C75" s="10"/>
    </row>
    <row r="76" spans="1:11" x14ac:dyDescent="0.25">
      <c r="C76" s="10"/>
    </row>
    <row r="77" spans="1:11" x14ac:dyDescent="0.25">
      <c r="C77" s="10"/>
    </row>
    <row r="78" spans="1:11" x14ac:dyDescent="0.25">
      <c r="C78" s="10"/>
    </row>
    <row r="79" spans="1:11" x14ac:dyDescent="0.25">
      <c r="C79" s="10"/>
    </row>
    <row r="80" spans="1:11" x14ac:dyDescent="0.25"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84" spans="3:3" x14ac:dyDescent="0.25">
      <c r="C84" s="10"/>
    </row>
    <row r="85" spans="3:3" x14ac:dyDescent="0.25">
      <c r="C85" s="10"/>
    </row>
    <row r="86" spans="3:3" x14ac:dyDescent="0.25">
      <c r="C86" s="10"/>
    </row>
    <row r="87" spans="3:3" x14ac:dyDescent="0.25">
      <c r="C87" s="10"/>
    </row>
    <row r="88" spans="3:3" x14ac:dyDescent="0.25">
      <c r="C88" s="10"/>
    </row>
    <row r="89" spans="3:3" x14ac:dyDescent="0.25">
      <c r="C89" s="10"/>
    </row>
    <row r="90" spans="3:3" x14ac:dyDescent="0.25">
      <c r="C90" s="10"/>
    </row>
    <row r="91" spans="3:3" x14ac:dyDescent="0.25">
      <c r="C91" s="10"/>
    </row>
    <row r="1048557" spans="1:21" s="10" customFormat="1" x14ac:dyDescent="0.25">
      <c r="A1048557" s="9"/>
      <c r="B1048557" s="9"/>
      <c r="C1048557" s="9"/>
      <c r="D1048557" s="9"/>
      <c r="F1048557" s="9"/>
      <c r="H1048557" s="9"/>
      <c r="L1048557" s="9"/>
      <c r="M1048557" s="9"/>
      <c r="N1048557" s="9"/>
      <c r="O1048557" s="9"/>
      <c r="P1048557" s="9"/>
      <c r="Q1048557" s="9"/>
      <c r="R1048557" s="9"/>
      <c r="S1048557" s="9"/>
      <c r="T1048557" s="9"/>
      <c r="U1048557" s="9"/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7505-F1E0-4290-ADAA-B7947EAFB6A6}">
  <dimension ref="A1:U1048557"/>
  <sheetViews>
    <sheetView workbookViewId="0">
      <pane ySplit="3" topLeftCell="A4" activePane="bottomLeft" state="frozen"/>
      <selection activeCell="K26" activeCellId="1" sqref="K29:K30 K26"/>
      <selection pane="bottomLeft" activeCell="A18" sqref="A18"/>
    </sheetView>
  </sheetViews>
  <sheetFormatPr baseColWidth="10" defaultColWidth="10.7109375" defaultRowHeight="15" x14ac:dyDescent="0.25"/>
  <cols>
    <col min="1" max="1" width="22.7109375" style="9" customWidth="1"/>
    <col min="2" max="2" width="59.7109375" style="9" customWidth="1"/>
    <col min="3" max="3" width="22.42578125" style="9" customWidth="1"/>
    <col min="4" max="4" width="37.5703125" style="9" customWidth="1"/>
    <col min="5" max="5" width="10.7109375" style="10"/>
    <col min="6" max="6" width="6.140625" style="9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1" s="11" customFormat="1" x14ac:dyDescent="0.25">
      <c r="A1" s="11" t="s">
        <v>0</v>
      </c>
      <c r="E1" s="12"/>
      <c r="G1" s="12"/>
      <c r="I1" s="12"/>
    </row>
    <row r="3" spans="1:11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29" t="s">
        <v>1382</v>
      </c>
    </row>
    <row r="4" spans="1:11" x14ac:dyDescent="0.25">
      <c r="A4" s="27" t="s">
        <v>1444</v>
      </c>
      <c r="B4" s="5" t="s">
        <v>1445</v>
      </c>
      <c r="C4" s="5" t="s">
        <v>27</v>
      </c>
      <c r="D4" s="5" t="s">
        <v>1446</v>
      </c>
      <c r="E4" s="4">
        <v>1850</v>
      </c>
      <c r="F4" s="5"/>
      <c r="G4" s="4" t="s">
        <v>1447</v>
      </c>
      <c r="H4" s="28" t="s">
        <v>1444</v>
      </c>
      <c r="I4" s="4">
        <v>1363</v>
      </c>
      <c r="J4" s="4" t="s">
        <v>37</v>
      </c>
      <c r="K4" s="4">
        <f t="shared" ref="K4:K30" si="0">E4-I4</f>
        <v>487</v>
      </c>
    </row>
    <row r="5" spans="1:11" x14ac:dyDescent="0.25">
      <c r="A5" s="5" t="s">
        <v>1444</v>
      </c>
      <c r="B5" s="5" t="s">
        <v>1448</v>
      </c>
      <c r="C5" s="5" t="s">
        <v>27</v>
      </c>
      <c r="D5" s="5" t="s">
        <v>1446</v>
      </c>
      <c r="E5" s="4">
        <v>1900</v>
      </c>
      <c r="F5" s="5"/>
      <c r="G5" s="4" t="s">
        <v>958</v>
      </c>
      <c r="H5" s="28" t="s">
        <v>1444</v>
      </c>
      <c r="I5" s="4">
        <v>1363</v>
      </c>
      <c r="J5" s="4" t="s">
        <v>66</v>
      </c>
      <c r="K5" s="4">
        <f>E5-I5</f>
        <v>537</v>
      </c>
    </row>
    <row r="6" spans="1:11" x14ac:dyDescent="0.25">
      <c r="A6" s="5" t="s">
        <v>1444</v>
      </c>
      <c r="B6" s="5" t="s">
        <v>1449</v>
      </c>
      <c r="C6" s="5" t="s">
        <v>27</v>
      </c>
      <c r="D6" s="5" t="s">
        <v>1446</v>
      </c>
      <c r="E6" s="4">
        <v>4599</v>
      </c>
      <c r="F6" s="5"/>
      <c r="G6" s="4" t="s">
        <v>1298</v>
      </c>
      <c r="H6" s="28" t="s">
        <v>1444</v>
      </c>
      <c r="I6" s="4">
        <f>790+806</f>
        <v>1596</v>
      </c>
      <c r="J6" s="4" t="s">
        <v>37</v>
      </c>
      <c r="K6" s="4">
        <f t="shared" si="0"/>
        <v>3003</v>
      </c>
    </row>
    <row r="7" spans="1:11" x14ac:dyDescent="0.25">
      <c r="A7" s="9" t="s">
        <v>1444</v>
      </c>
      <c r="B7" s="9" t="s">
        <v>1450</v>
      </c>
      <c r="C7" s="9" t="s">
        <v>27</v>
      </c>
      <c r="D7" s="9" t="s">
        <v>1085</v>
      </c>
      <c r="E7" s="10">
        <f>2300+850</f>
        <v>3150</v>
      </c>
      <c r="G7" s="10" t="s">
        <v>178</v>
      </c>
      <c r="H7" s="30" t="s">
        <v>1444</v>
      </c>
      <c r="I7" s="10">
        <v>1800</v>
      </c>
      <c r="J7" s="10" t="s">
        <v>66</v>
      </c>
      <c r="K7" s="10">
        <f t="shared" si="0"/>
        <v>1350</v>
      </c>
    </row>
    <row r="8" spans="1:11" x14ac:dyDescent="0.25">
      <c r="A8" s="9" t="s">
        <v>1451</v>
      </c>
      <c r="B8" s="9" t="s">
        <v>1452</v>
      </c>
      <c r="C8" s="9" t="s">
        <v>27</v>
      </c>
      <c r="D8" s="9" t="s">
        <v>1085</v>
      </c>
      <c r="E8" s="10">
        <v>1800</v>
      </c>
      <c r="G8" s="10" t="s">
        <v>131</v>
      </c>
      <c r="H8" s="30" t="s">
        <v>1444</v>
      </c>
      <c r="J8" s="10" t="s">
        <v>66</v>
      </c>
      <c r="K8" s="10">
        <f t="shared" si="0"/>
        <v>1800</v>
      </c>
    </row>
    <row r="9" spans="1:11" x14ac:dyDescent="0.25">
      <c r="A9" s="5" t="s">
        <v>1456</v>
      </c>
      <c r="B9" s="5" t="s">
        <v>1458</v>
      </c>
      <c r="C9" s="5" t="s">
        <v>27</v>
      </c>
      <c r="D9" s="5" t="s">
        <v>1085</v>
      </c>
      <c r="E9" s="4">
        <v>850</v>
      </c>
      <c r="F9" s="5"/>
      <c r="G9" s="4" t="s">
        <v>37</v>
      </c>
      <c r="H9" s="4" t="s">
        <v>37</v>
      </c>
      <c r="I9" s="4">
        <v>0</v>
      </c>
      <c r="J9" s="4" t="s">
        <v>37</v>
      </c>
      <c r="K9" s="4">
        <f t="shared" si="0"/>
        <v>850</v>
      </c>
    </row>
    <row r="10" spans="1:11" x14ac:dyDescent="0.25">
      <c r="A10" s="5" t="s">
        <v>1456</v>
      </c>
      <c r="B10" s="5" t="s">
        <v>1457</v>
      </c>
      <c r="C10" s="5" t="s">
        <v>27</v>
      </c>
      <c r="D10" s="5" t="s">
        <v>1085</v>
      </c>
      <c r="E10" s="4">
        <v>4100</v>
      </c>
      <c r="F10" s="5"/>
      <c r="G10" s="4" t="s">
        <v>898</v>
      </c>
      <c r="H10" s="4" t="s">
        <v>1456</v>
      </c>
      <c r="I10" s="4">
        <v>1962.8</v>
      </c>
      <c r="J10" s="4" t="s">
        <v>66</v>
      </c>
      <c r="K10" s="4">
        <f t="shared" si="0"/>
        <v>2137.1999999999998</v>
      </c>
    </row>
    <row r="11" spans="1:11" x14ac:dyDescent="0.25">
      <c r="A11" s="5" t="s">
        <v>1456</v>
      </c>
      <c r="B11" s="5" t="s">
        <v>1459</v>
      </c>
      <c r="C11" s="5" t="s">
        <v>27</v>
      </c>
      <c r="D11" s="5" t="s">
        <v>1460</v>
      </c>
      <c r="E11" s="4">
        <v>1950</v>
      </c>
      <c r="F11" s="5"/>
      <c r="G11" s="4" t="s">
        <v>980</v>
      </c>
      <c r="H11" s="4" t="s">
        <v>1456</v>
      </c>
      <c r="I11" s="4">
        <v>950</v>
      </c>
      <c r="J11" s="4" t="s">
        <v>65</v>
      </c>
      <c r="K11" s="4">
        <f t="shared" si="0"/>
        <v>1000</v>
      </c>
    </row>
    <row r="12" spans="1:11" x14ac:dyDescent="0.25">
      <c r="A12" s="9" t="s">
        <v>1461</v>
      </c>
      <c r="B12" s="9" t="s">
        <v>1466</v>
      </c>
      <c r="C12" s="9" t="s">
        <v>27</v>
      </c>
      <c r="D12" s="9" t="s">
        <v>1085</v>
      </c>
      <c r="E12" s="10">
        <v>1950</v>
      </c>
      <c r="G12" s="10" t="s">
        <v>246</v>
      </c>
      <c r="H12" s="10" t="s">
        <v>1461</v>
      </c>
      <c r="I12" s="10">
        <v>1150</v>
      </c>
      <c r="J12" s="10" t="s">
        <v>65</v>
      </c>
      <c r="K12" s="10">
        <f t="shared" si="0"/>
        <v>800</v>
      </c>
    </row>
    <row r="13" spans="1:11" x14ac:dyDescent="0.25">
      <c r="A13" s="5" t="s">
        <v>1461</v>
      </c>
      <c r="B13" s="5" t="s">
        <v>1462</v>
      </c>
      <c r="C13" s="5" t="s">
        <v>27</v>
      </c>
      <c r="D13" s="5" t="s">
        <v>1085</v>
      </c>
      <c r="E13" s="4">
        <v>1480</v>
      </c>
      <c r="F13" s="5"/>
      <c r="G13" s="4" t="s">
        <v>1462</v>
      </c>
      <c r="H13" s="4" t="s">
        <v>1461</v>
      </c>
      <c r="I13" s="4">
        <v>900</v>
      </c>
      <c r="J13" s="4" t="s">
        <v>65</v>
      </c>
      <c r="K13" s="4">
        <f t="shared" si="0"/>
        <v>580</v>
      </c>
    </row>
    <row r="14" spans="1:11" x14ac:dyDescent="0.25">
      <c r="A14" s="27" t="s">
        <v>1454</v>
      </c>
      <c r="B14" s="5" t="s">
        <v>1463</v>
      </c>
      <c r="C14" s="5" t="s">
        <v>27</v>
      </c>
      <c r="D14" s="5" t="s">
        <v>1085</v>
      </c>
      <c r="E14" s="4">
        <v>700</v>
      </c>
      <c r="F14" s="5"/>
      <c r="G14" s="4" t="s">
        <v>37</v>
      </c>
      <c r="H14" s="4" t="s">
        <v>37</v>
      </c>
      <c r="I14" s="4">
        <v>0</v>
      </c>
      <c r="J14" s="4" t="s">
        <v>37</v>
      </c>
      <c r="K14" s="4">
        <f t="shared" si="0"/>
        <v>700</v>
      </c>
    </row>
    <row r="15" spans="1:11" x14ac:dyDescent="0.25">
      <c r="A15" s="5" t="s">
        <v>1454</v>
      </c>
      <c r="B15" s="5" t="s">
        <v>1464</v>
      </c>
      <c r="C15" s="5" t="s">
        <v>27</v>
      </c>
      <c r="D15" s="5" t="s">
        <v>1085</v>
      </c>
      <c r="E15" s="4">
        <v>650</v>
      </c>
      <c r="F15" s="5"/>
      <c r="G15" s="4" t="s">
        <v>37</v>
      </c>
      <c r="H15" s="4" t="s">
        <v>37</v>
      </c>
      <c r="I15" s="4">
        <v>0</v>
      </c>
      <c r="J15" s="4" t="s">
        <v>37</v>
      </c>
      <c r="K15" s="4">
        <f t="shared" si="0"/>
        <v>650</v>
      </c>
    </row>
    <row r="16" spans="1:11" x14ac:dyDescent="0.25">
      <c r="A16" s="5" t="s">
        <v>1454</v>
      </c>
      <c r="B16" s="5" t="s">
        <v>1467</v>
      </c>
      <c r="C16" s="5" t="s">
        <v>27</v>
      </c>
      <c r="D16" s="5" t="s">
        <v>1085</v>
      </c>
      <c r="E16" s="4">
        <v>3200</v>
      </c>
      <c r="F16" s="5"/>
      <c r="G16" s="4" t="s">
        <v>246</v>
      </c>
      <c r="H16" s="4" t="s">
        <v>1465</v>
      </c>
      <c r="I16" s="4">
        <v>2230</v>
      </c>
      <c r="J16" s="4" t="s">
        <v>37</v>
      </c>
      <c r="K16" s="4">
        <f t="shared" si="0"/>
        <v>970</v>
      </c>
    </row>
    <row r="17" spans="1:11" x14ac:dyDescent="0.25">
      <c r="A17" s="5" t="s">
        <v>1454</v>
      </c>
      <c r="B17" s="5" t="s">
        <v>1468</v>
      </c>
      <c r="C17" s="5" t="s">
        <v>27</v>
      </c>
      <c r="D17" s="5" t="s">
        <v>1085</v>
      </c>
      <c r="E17" s="4">
        <v>1950</v>
      </c>
      <c r="F17" s="5"/>
      <c r="G17" s="4" t="s">
        <v>246</v>
      </c>
      <c r="H17" s="4" t="s">
        <v>1465</v>
      </c>
      <c r="I17" s="4">
        <v>950</v>
      </c>
      <c r="J17" s="4"/>
      <c r="K17" s="4">
        <f t="shared" si="0"/>
        <v>1000</v>
      </c>
    </row>
    <row r="18" spans="1:11" x14ac:dyDescent="0.25">
      <c r="A18" s="5" t="s">
        <v>1465</v>
      </c>
      <c r="B18" s="5" t="s">
        <v>177</v>
      </c>
      <c r="C18" s="5" t="s">
        <v>27</v>
      </c>
      <c r="D18" s="5" t="s">
        <v>1085</v>
      </c>
      <c r="E18" s="4">
        <v>2550</v>
      </c>
      <c r="F18" s="5"/>
      <c r="G18" s="4" t="s">
        <v>178</v>
      </c>
      <c r="H18" s="4" t="s">
        <v>1465</v>
      </c>
      <c r="I18" s="4">
        <v>1038</v>
      </c>
      <c r="J18" s="4"/>
      <c r="K18" s="4">
        <f t="shared" si="0"/>
        <v>1512</v>
      </c>
    </row>
    <row r="19" spans="1:11" x14ac:dyDescent="0.25">
      <c r="H19" s="10"/>
      <c r="J19" s="10"/>
      <c r="K19" s="10">
        <f t="shared" si="0"/>
        <v>0</v>
      </c>
    </row>
    <row r="20" spans="1:11" x14ac:dyDescent="0.25">
      <c r="H20" s="10"/>
      <c r="J20" s="10"/>
      <c r="K20" s="10">
        <f t="shared" si="0"/>
        <v>0</v>
      </c>
    </row>
    <row r="21" spans="1:11" x14ac:dyDescent="0.25">
      <c r="H21" s="10"/>
      <c r="J21" s="10"/>
      <c r="K21" s="10">
        <f t="shared" si="0"/>
        <v>0</v>
      </c>
    </row>
    <row r="22" spans="1:11" x14ac:dyDescent="0.25">
      <c r="H22" s="10"/>
      <c r="J22" s="10"/>
      <c r="K22" s="10">
        <f t="shared" si="0"/>
        <v>0</v>
      </c>
    </row>
    <row r="23" spans="1:11" x14ac:dyDescent="0.25">
      <c r="H23" s="10"/>
      <c r="J23" s="10"/>
    </row>
    <row r="24" spans="1:11" x14ac:dyDescent="0.25">
      <c r="F24" s="16"/>
    </row>
    <row r="25" spans="1:11" x14ac:dyDescent="0.25">
      <c r="F25" s="16"/>
    </row>
    <row r="26" spans="1:11" x14ac:dyDescent="0.25">
      <c r="F26" s="16"/>
      <c r="H26" s="10"/>
      <c r="J26" s="10"/>
    </row>
    <row r="27" spans="1:11" x14ac:dyDescent="0.25">
      <c r="F27" s="16"/>
      <c r="J27" s="10"/>
    </row>
    <row r="28" spans="1:11" x14ac:dyDescent="0.25">
      <c r="F28" s="16"/>
      <c r="J28" s="10"/>
    </row>
    <row r="29" spans="1:11" x14ac:dyDescent="0.25">
      <c r="F29" s="16"/>
      <c r="J29" s="10"/>
    </row>
    <row r="30" spans="1:11" x14ac:dyDescent="0.25">
      <c r="F30" s="16"/>
      <c r="J30" s="10"/>
      <c r="K30" s="10">
        <f t="shared" si="0"/>
        <v>0</v>
      </c>
    </row>
    <row r="31" spans="1:11" x14ac:dyDescent="0.25">
      <c r="F31" s="16"/>
      <c r="J31" s="10"/>
    </row>
    <row r="32" spans="1:11" x14ac:dyDescent="0.25">
      <c r="F32" s="16"/>
      <c r="J32" s="10"/>
    </row>
    <row r="33" spans="1:21" s="11" customFormat="1" x14ac:dyDescent="0.25">
      <c r="E33" s="12"/>
      <c r="F33" s="17"/>
      <c r="G33" s="12"/>
      <c r="I33" s="12"/>
      <c r="K33" s="12"/>
    </row>
    <row r="34" spans="1:21" x14ac:dyDescent="0.25">
      <c r="F34" s="16"/>
    </row>
    <row r="35" spans="1:21" x14ac:dyDescent="0.25">
      <c r="A35" s="21" t="s">
        <v>1453</v>
      </c>
      <c r="B35" s="21" t="s">
        <v>1062</v>
      </c>
      <c r="C35" s="22">
        <v>3500</v>
      </c>
      <c r="H35" s="10"/>
      <c r="J35" s="10"/>
    </row>
    <row r="36" spans="1:21" s="10" customFormat="1" x14ac:dyDescent="0.25">
      <c r="A36" s="19" t="s">
        <v>1453</v>
      </c>
      <c r="B36" s="19" t="s">
        <v>1063</v>
      </c>
      <c r="C36" s="20">
        <v>4000</v>
      </c>
      <c r="D36" s="9"/>
      <c r="F36" s="16"/>
      <c r="H36" s="9"/>
      <c r="J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s="10" customFormat="1" x14ac:dyDescent="0.25">
      <c r="A37" s="19" t="s">
        <v>1454</v>
      </c>
      <c r="B37" s="19" t="s">
        <v>1062</v>
      </c>
      <c r="C37" s="20">
        <v>3500</v>
      </c>
      <c r="D37" s="9"/>
      <c r="F37" s="16"/>
      <c r="H37" s="9"/>
      <c r="J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s="10" customFormat="1" x14ac:dyDescent="0.25">
      <c r="A38" s="19" t="s">
        <v>1454</v>
      </c>
      <c r="B38" s="19" t="s">
        <v>1063</v>
      </c>
      <c r="C38" s="20">
        <v>4000</v>
      </c>
      <c r="D38" s="9"/>
      <c r="F38" s="16"/>
      <c r="H38" s="16"/>
      <c r="J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s="10" customFormat="1" x14ac:dyDescent="0.25">
      <c r="A39" s="21" t="s">
        <v>1454</v>
      </c>
      <c r="B39" s="21" t="s">
        <v>1292</v>
      </c>
      <c r="C39" s="22">
        <v>1500</v>
      </c>
      <c r="D39" s="9"/>
      <c r="F39" s="16"/>
      <c r="H39" s="16"/>
      <c r="J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 s="10" customFormat="1" x14ac:dyDescent="0.25">
      <c r="A40" s="21" t="s">
        <v>1454</v>
      </c>
      <c r="B40" s="21" t="s">
        <v>206</v>
      </c>
      <c r="C40" s="22">
        <v>6600</v>
      </c>
      <c r="D40" s="9"/>
      <c r="F40" s="9"/>
      <c r="H40" s="9"/>
      <c r="J40" s="9"/>
    </row>
    <row r="41" spans="1:21" s="10" customFormat="1" x14ac:dyDescent="0.25">
      <c r="A41" s="21" t="s">
        <v>1454</v>
      </c>
      <c r="B41" s="21" t="s">
        <v>648</v>
      </c>
      <c r="C41" s="22">
        <v>1000</v>
      </c>
      <c r="D41" s="9"/>
      <c r="F41" s="9"/>
      <c r="H41" s="9"/>
      <c r="J41" s="9"/>
    </row>
    <row r="42" spans="1:21" s="10" customFormat="1" x14ac:dyDescent="0.25">
      <c r="A42" s="21" t="s">
        <v>1454</v>
      </c>
      <c r="B42" s="21" t="s">
        <v>1026</v>
      </c>
      <c r="C42" s="22">
        <v>1500</v>
      </c>
      <c r="D42" s="9"/>
      <c r="F42" s="9"/>
      <c r="H42" s="9"/>
      <c r="J42" s="9"/>
    </row>
    <row r="43" spans="1:21" s="10" customFormat="1" x14ac:dyDescent="0.25">
      <c r="A43" s="21" t="s">
        <v>1454</v>
      </c>
      <c r="B43" s="5" t="s">
        <v>72</v>
      </c>
      <c r="C43" s="4">
        <v>550</v>
      </c>
      <c r="D43" s="9"/>
      <c r="F43" s="9"/>
      <c r="H43" s="9"/>
      <c r="J43" s="9"/>
    </row>
    <row r="44" spans="1:21" s="10" customFormat="1" x14ac:dyDescent="0.25">
      <c r="A44" s="21"/>
      <c r="B44" s="21"/>
      <c r="C44" s="22"/>
      <c r="D44" s="9"/>
      <c r="F44" s="9"/>
      <c r="H44" s="9"/>
      <c r="J44" s="9"/>
    </row>
    <row r="45" spans="1:21" s="10" customFormat="1" x14ac:dyDescent="0.25">
      <c r="A45" s="9" t="s">
        <v>1455</v>
      </c>
      <c r="B45" s="19" t="s">
        <v>87</v>
      </c>
      <c r="C45" s="20">
        <v>4500</v>
      </c>
      <c r="D45" s="9"/>
      <c r="F45" s="9"/>
      <c r="H45" s="9"/>
      <c r="J45" s="9"/>
    </row>
    <row r="46" spans="1:21" s="10" customFormat="1" x14ac:dyDescent="0.25">
      <c r="A46" s="9"/>
      <c r="B46" s="9"/>
      <c r="D46" s="9"/>
      <c r="F46" s="9"/>
      <c r="H46" s="9"/>
      <c r="J46" s="9"/>
    </row>
    <row r="47" spans="1:21" s="10" customFormat="1" x14ac:dyDescent="0.25">
      <c r="A47" s="9"/>
      <c r="B47" s="9"/>
      <c r="D47" s="9"/>
      <c r="F47" s="9"/>
    </row>
    <row r="48" spans="1:21" s="10" customFormat="1" x14ac:dyDescent="0.25">
      <c r="A48" s="9"/>
      <c r="B48" s="9"/>
      <c r="D48" s="9"/>
      <c r="F48" s="9"/>
    </row>
    <row r="49" spans="1:10" s="10" customFormat="1" x14ac:dyDescent="0.25">
      <c r="A49" s="9"/>
      <c r="B49" s="9"/>
      <c r="D49" s="9"/>
      <c r="F49" s="9"/>
    </row>
    <row r="50" spans="1:10" s="10" customFormat="1" x14ac:dyDescent="0.25">
      <c r="A50" s="9"/>
      <c r="B50" s="9"/>
      <c r="D50" s="9"/>
      <c r="F50" s="9"/>
    </row>
    <row r="51" spans="1:10" s="10" customFormat="1" x14ac:dyDescent="0.25">
      <c r="A51" s="9"/>
      <c r="B51" s="9"/>
      <c r="C51" s="9"/>
      <c r="D51" s="9"/>
      <c r="F51" s="9"/>
    </row>
    <row r="52" spans="1:10" s="10" customFormat="1" x14ac:dyDescent="0.25"/>
    <row r="53" spans="1:10" s="10" customFormat="1" x14ac:dyDescent="0.25"/>
    <row r="54" spans="1:10" s="10" customFormat="1" x14ac:dyDescent="0.25"/>
    <row r="55" spans="1:10" s="10" customFormat="1" x14ac:dyDescent="0.25"/>
    <row r="56" spans="1:10" s="10" customFormat="1" x14ac:dyDescent="0.25"/>
    <row r="57" spans="1:10" s="10" customFormat="1" x14ac:dyDescent="0.25"/>
    <row r="58" spans="1:10" s="10" customFormat="1" x14ac:dyDescent="0.25"/>
    <row r="59" spans="1:10" s="10" customFormat="1" x14ac:dyDescent="0.25">
      <c r="H59" s="9"/>
      <c r="J59" s="9"/>
    </row>
    <row r="60" spans="1:10" s="10" customFormat="1" x14ac:dyDescent="0.25">
      <c r="H60" s="9"/>
      <c r="J60" s="9"/>
    </row>
    <row r="61" spans="1:10" s="10" customFormat="1" x14ac:dyDescent="0.25">
      <c r="H61" s="9"/>
      <c r="J61" s="9"/>
    </row>
    <row r="62" spans="1:10" s="10" customFormat="1" x14ac:dyDescent="0.25">
      <c r="H62" s="9"/>
      <c r="J62" s="9"/>
    </row>
    <row r="63" spans="1:10" s="10" customFormat="1" x14ac:dyDescent="0.25">
      <c r="H63" s="9"/>
      <c r="J63" s="9"/>
    </row>
    <row r="64" spans="1:10" s="10" customFormat="1" x14ac:dyDescent="0.25">
      <c r="H64" s="9"/>
      <c r="J64" s="9"/>
    </row>
    <row r="65" spans="1:11" s="10" customFormat="1" x14ac:dyDescent="0.25">
      <c r="H65" s="9"/>
      <c r="J65" s="9"/>
    </row>
    <row r="66" spans="1:11" s="10" customFormat="1" x14ac:dyDescent="0.25">
      <c r="H66" s="9"/>
      <c r="J66" s="9"/>
    </row>
    <row r="67" spans="1:11" s="10" customFormat="1" x14ac:dyDescent="0.25">
      <c r="H67" s="9"/>
      <c r="J67" s="9"/>
    </row>
    <row r="68" spans="1:11" s="10" customFormat="1" x14ac:dyDescent="0.25">
      <c r="H68" s="9"/>
      <c r="J68" s="9"/>
    </row>
    <row r="69" spans="1:11" s="10" customFormat="1" x14ac:dyDescent="0.25">
      <c r="H69" s="9"/>
      <c r="J69" s="9"/>
    </row>
    <row r="70" spans="1:11" s="10" customFormat="1" x14ac:dyDescent="0.25">
      <c r="H70" s="9"/>
      <c r="J70" s="9"/>
    </row>
    <row r="71" spans="1:11" s="10" customFormat="1" x14ac:dyDescent="0.25">
      <c r="H71" s="9"/>
      <c r="J71" s="9"/>
    </row>
    <row r="72" spans="1:11" s="10" customFormat="1" x14ac:dyDescent="0.25">
      <c r="H72" s="9"/>
      <c r="J72" s="9"/>
    </row>
    <row r="73" spans="1:11" s="11" customFormat="1" x14ac:dyDescent="0.25">
      <c r="C73" s="12"/>
      <c r="E73" s="12"/>
      <c r="G73" s="12"/>
      <c r="I73" s="12"/>
      <c r="K73" s="12"/>
    </row>
    <row r="74" spans="1:11" x14ac:dyDescent="0.25">
      <c r="C74" s="10"/>
    </row>
    <row r="75" spans="1:11" x14ac:dyDescent="0.25">
      <c r="A75" s="13"/>
      <c r="C75" s="10"/>
    </row>
    <row r="76" spans="1:11" x14ac:dyDescent="0.25">
      <c r="C76" s="10"/>
    </row>
    <row r="77" spans="1:11" x14ac:dyDescent="0.25">
      <c r="C77" s="10"/>
    </row>
    <row r="78" spans="1:11" x14ac:dyDescent="0.25">
      <c r="C78" s="10"/>
    </row>
    <row r="79" spans="1:11" x14ac:dyDescent="0.25">
      <c r="C79" s="10"/>
    </row>
    <row r="80" spans="1:11" x14ac:dyDescent="0.25"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84" spans="3:3" x14ac:dyDescent="0.25">
      <c r="C84" s="10"/>
    </row>
    <row r="85" spans="3:3" x14ac:dyDescent="0.25">
      <c r="C85" s="10"/>
    </row>
    <row r="86" spans="3:3" x14ac:dyDescent="0.25">
      <c r="C86" s="10"/>
    </row>
    <row r="87" spans="3:3" x14ac:dyDescent="0.25">
      <c r="C87" s="10"/>
    </row>
    <row r="88" spans="3:3" x14ac:dyDescent="0.25">
      <c r="C88" s="10"/>
    </row>
    <row r="89" spans="3:3" x14ac:dyDescent="0.25">
      <c r="C89" s="10"/>
    </row>
    <row r="90" spans="3:3" x14ac:dyDescent="0.25">
      <c r="C90" s="10"/>
    </row>
    <row r="91" spans="3:3" x14ac:dyDescent="0.25">
      <c r="C91" s="10"/>
    </row>
    <row r="1048557" spans="1:21" s="10" customFormat="1" x14ac:dyDescent="0.25">
      <c r="A1048557" s="9"/>
      <c r="B1048557" s="9"/>
      <c r="C1048557" s="9"/>
      <c r="D1048557" s="9"/>
      <c r="F1048557" s="9"/>
      <c r="H1048557" s="9"/>
      <c r="L1048557" s="9"/>
      <c r="M1048557" s="9"/>
      <c r="N1048557" s="9"/>
      <c r="O1048557" s="9"/>
      <c r="P1048557" s="9"/>
      <c r="Q1048557" s="9"/>
      <c r="R1048557" s="9"/>
      <c r="S1048557" s="9"/>
      <c r="T1048557" s="9"/>
      <c r="U1048557" s="9"/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A094C-4AAA-4179-A4F3-F9479C1C5F7A}">
  <dimension ref="A1:U1048557"/>
  <sheetViews>
    <sheetView topLeftCell="B1" workbookViewId="0">
      <pane ySplit="3" topLeftCell="A4" activePane="bottomLeft" state="frozen"/>
      <selection activeCell="K26" activeCellId="1" sqref="K29:K30 K26"/>
      <selection pane="bottomLeft" activeCell="A4" sqref="A4:K21"/>
    </sheetView>
  </sheetViews>
  <sheetFormatPr baseColWidth="10" defaultColWidth="10.7109375" defaultRowHeight="15" x14ac:dyDescent="0.25"/>
  <cols>
    <col min="1" max="1" width="22.7109375" style="9" customWidth="1"/>
    <col min="2" max="2" width="59.7109375" style="9" customWidth="1"/>
    <col min="3" max="3" width="22.42578125" style="9" customWidth="1"/>
    <col min="4" max="4" width="37.5703125" style="9" customWidth="1"/>
    <col min="5" max="5" width="10.7109375" style="10"/>
    <col min="6" max="6" width="6.140625" style="9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1" s="11" customFormat="1" x14ac:dyDescent="0.25">
      <c r="A1" s="11" t="s">
        <v>0</v>
      </c>
      <c r="E1" s="12"/>
      <c r="G1" s="12"/>
      <c r="I1" s="12"/>
    </row>
    <row r="3" spans="1:11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29" t="s">
        <v>1382</v>
      </c>
    </row>
    <row r="4" spans="1:11" x14ac:dyDescent="0.25">
      <c r="A4" s="27" t="s">
        <v>1469</v>
      </c>
      <c r="B4" s="5" t="s">
        <v>1470</v>
      </c>
      <c r="C4" s="5" t="s">
        <v>27</v>
      </c>
      <c r="D4" s="5" t="s">
        <v>1085</v>
      </c>
      <c r="E4" s="4">
        <v>2050</v>
      </c>
      <c r="F4" s="5"/>
      <c r="G4" s="4" t="s">
        <v>1369</v>
      </c>
      <c r="H4" s="28" t="s">
        <v>1444</v>
      </c>
      <c r="I4" s="4">
        <v>1363</v>
      </c>
      <c r="J4" s="4" t="s">
        <v>37</v>
      </c>
      <c r="K4" s="4">
        <f t="shared" ref="K4:K29" si="0">E4-I4</f>
        <v>687</v>
      </c>
    </row>
    <row r="5" spans="1:11" x14ac:dyDescent="0.25">
      <c r="A5" s="5" t="s">
        <v>1469</v>
      </c>
      <c r="B5" s="5" t="s">
        <v>1471</v>
      </c>
      <c r="C5" s="5" t="s">
        <v>27</v>
      </c>
      <c r="D5" s="5" t="s">
        <v>1085</v>
      </c>
      <c r="E5" s="4">
        <v>1550</v>
      </c>
      <c r="F5" s="5"/>
      <c r="G5" s="4" t="s">
        <v>178</v>
      </c>
      <c r="H5" s="28" t="s">
        <v>1444</v>
      </c>
      <c r="I5" s="4">
        <v>1050</v>
      </c>
      <c r="J5" s="4" t="s">
        <v>37</v>
      </c>
      <c r="K5" s="4">
        <f t="shared" si="0"/>
        <v>500</v>
      </c>
    </row>
    <row r="6" spans="1:11" x14ac:dyDescent="0.25">
      <c r="A6" s="5" t="s">
        <v>1469</v>
      </c>
      <c r="B6" s="5" t="s">
        <v>1472</v>
      </c>
      <c r="C6" s="5" t="s">
        <v>27</v>
      </c>
      <c r="D6" s="5" t="s">
        <v>1085</v>
      </c>
      <c r="E6" s="4">
        <v>750</v>
      </c>
      <c r="F6" s="5"/>
      <c r="G6" s="4" t="s">
        <v>37</v>
      </c>
      <c r="H6" s="28" t="s">
        <v>37</v>
      </c>
      <c r="I6" s="4">
        <v>0</v>
      </c>
      <c r="J6" s="4" t="s">
        <v>37</v>
      </c>
      <c r="K6" s="4">
        <f t="shared" si="0"/>
        <v>750</v>
      </c>
    </row>
    <row r="7" spans="1:11" x14ac:dyDescent="0.25">
      <c r="A7" s="5" t="s">
        <v>1473</v>
      </c>
      <c r="B7" s="5" t="s">
        <v>1474</v>
      </c>
      <c r="C7" s="5" t="s">
        <v>27</v>
      </c>
      <c r="D7" s="5" t="s">
        <v>1085</v>
      </c>
      <c r="E7" s="4">
        <v>1850</v>
      </c>
      <c r="F7" s="5"/>
      <c r="G7" s="4" t="s">
        <v>37</v>
      </c>
      <c r="H7" s="28" t="s">
        <v>37</v>
      </c>
      <c r="I7" s="4">
        <v>0</v>
      </c>
      <c r="J7" s="4" t="s">
        <v>37</v>
      </c>
      <c r="K7" s="4">
        <f t="shared" ref="K7" si="1">E7-I7</f>
        <v>1850</v>
      </c>
    </row>
    <row r="8" spans="1:11" x14ac:dyDescent="0.25">
      <c r="A8" s="5" t="s">
        <v>1473</v>
      </c>
      <c r="B8" s="5" t="s">
        <v>1458</v>
      </c>
      <c r="C8" s="5" t="s">
        <v>27</v>
      </c>
      <c r="D8" s="5" t="s">
        <v>1085</v>
      </c>
      <c r="E8" s="4">
        <v>850</v>
      </c>
      <c r="F8" s="5"/>
      <c r="G8" s="4" t="s">
        <v>37</v>
      </c>
      <c r="H8" s="28" t="s">
        <v>37</v>
      </c>
      <c r="I8" s="4">
        <v>0</v>
      </c>
      <c r="J8" s="4" t="s">
        <v>37</v>
      </c>
      <c r="K8" s="4">
        <f t="shared" ref="K8:K12" si="2">E8-I8</f>
        <v>850</v>
      </c>
    </row>
    <row r="9" spans="1:11" x14ac:dyDescent="0.25">
      <c r="A9" s="5" t="s">
        <v>1475</v>
      </c>
      <c r="B9" s="5" t="s">
        <v>1478</v>
      </c>
      <c r="C9" s="5" t="s">
        <v>27</v>
      </c>
      <c r="D9" s="5" t="s">
        <v>1085</v>
      </c>
      <c r="E9" s="4">
        <v>8000</v>
      </c>
      <c r="F9" s="5"/>
      <c r="G9" s="4" t="s">
        <v>246</v>
      </c>
      <c r="H9" s="4" t="s">
        <v>37</v>
      </c>
      <c r="I9" s="4">
        <v>4999</v>
      </c>
      <c r="J9" s="4" t="s">
        <v>1479</v>
      </c>
      <c r="K9" s="4">
        <f t="shared" si="2"/>
        <v>3001</v>
      </c>
    </row>
    <row r="10" spans="1:11" x14ac:dyDescent="0.25">
      <c r="A10" s="5" t="s">
        <v>1480</v>
      </c>
      <c r="B10" s="5" t="s">
        <v>1481</v>
      </c>
      <c r="C10" s="5" t="s">
        <v>27</v>
      </c>
      <c r="D10" s="5" t="s">
        <v>1085</v>
      </c>
      <c r="E10" s="4">
        <v>4200</v>
      </c>
      <c r="F10" s="5"/>
      <c r="G10" s="4" t="s">
        <v>123</v>
      </c>
      <c r="H10" s="4" t="s">
        <v>1480</v>
      </c>
      <c r="I10" s="4">
        <v>3100</v>
      </c>
      <c r="J10" s="4" t="s">
        <v>66</v>
      </c>
      <c r="K10" s="4">
        <f t="shared" si="2"/>
        <v>1100</v>
      </c>
    </row>
    <row r="11" spans="1:11" x14ac:dyDescent="0.25">
      <c r="A11" s="5" t="s">
        <v>1480</v>
      </c>
      <c r="B11" s="5" t="s">
        <v>1482</v>
      </c>
      <c r="C11" s="5" t="s">
        <v>27</v>
      </c>
      <c r="D11" s="5" t="s">
        <v>1085</v>
      </c>
      <c r="E11" s="4">
        <v>800</v>
      </c>
      <c r="F11" s="5"/>
      <c r="G11" s="4" t="s">
        <v>37</v>
      </c>
      <c r="H11" s="4" t="s">
        <v>37</v>
      </c>
      <c r="I11" s="4">
        <v>0</v>
      </c>
      <c r="J11" s="4" t="s">
        <v>37</v>
      </c>
      <c r="K11" s="4">
        <f t="shared" si="2"/>
        <v>800</v>
      </c>
    </row>
    <row r="12" spans="1:11" x14ac:dyDescent="0.25">
      <c r="A12" s="5" t="s">
        <v>1480</v>
      </c>
      <c r="B12" s="5" t="s">
        <v>1485</v>
      </c>
      <c r="C12" s="5" t="s">
        <v>27</v>
      </c>
      <c r="D12" s="5" t="s">
        <v>1085</v>
      </c>
      <c r="E12" s="4">
        <v>850</v>
      </c>
      <c r="F12" s="5"/>
      <c r="G12" s="4" t="s">
        <v>37</v>
      </c>
      <c r="H12" s="4" t="s">
        <v>37</v>
      </c>
      <c r="I12" s="4">
        <v>0</v>
      </c>
      <c r="J12" s="4" t="s">
        <v>37</v>
      </c>
      <c r="K12" s="4">
        <f t="shared" si="2"/>
        <v>850</v>
      </c>
    </row>
    <row r="13" spans="1:11" x14ac:dyDescent="0.25">
      <c r="A13" s="27" t="s">
        <v>1483</v>
      </c>
      <c r="B13" s="5" t="s">
        <v>1484</v>
      </c>
      <c r="C13" s="5" t="s">
        <v>27</v>
      </c>
      <c r="D13" s="5" t="s">
        <v>1085</v>
      </c>
      <c r="E13" s="4">
        <v>2650</v>
      </c>
      <c r="F13" s="5"/>
      <c r="G13" s="4" t="s">
        <v>192</v>
      </c>
      <c r="H13" s="4" t="s">
        <v>37</v>
      </c>
      <c r="I13" s="4">
        <v>650</v>
      </c>
      <c r="J13" s="4" t="s">
        <v>37</v>
      </c>
      <c r="K13" s="4">
        <f>E13-I13</f>
        <v>2000</v>
      </c>
    </row>
    <row r="14" spans="1:11" x14ac:dyDescent="0.25">
      <c r="A14" s="5" t="s">
        <v>1483</v>
      </c>
      <c r="B14" s="5" t="s">
        <v>1486</v>
      </c>
      <c r="C14" s="5" t="s">
        <v>27</v>
      </c>
      <c r="D14" s="5" t="s">
        <v>1085</v>
      </c>
      <c r="E14" s="4">
        <v>850</v>
      </c>
      <c r="F14" s="5"/>
      <c r="G14" s="4" t="s">
        <v>37</v>
      </c>
      <c r="H14" s="4" t="s">
        <v>37</v>
      </c>
      <c r="I14" s="4">
        <v>0</v>
      </c>
      <c r="J14" s="4" t="s">
        <v>37</v>
      </c>
      <c r="K14" s="4">
        <f t="shared" ref="K14:K17" si="3">E14-I14</f>
        <v>850</v>
      </c>
    </row>
    <row r="15" spans="1:11" x14ac:dyDescent="0.25">
      <c r="A15" s="5" t="s">
        <v>1487</v>
      </c>
      <c r="B15" s="5" t="s">
        <v>1388</v>
      </c>
      <c r="C15" s="5" t="s">
        <v>27</v>
      </c>
      <c r="D15" s="5" t="s">
        <v>1085</v>
      </c>
      <c r="E15" s="4">
        <v>2100</v>
      </c>
      <c r="F15" s="5"/>
      <c r="G15" s="4" t="s">
        <v>1488</v>
      </c>
      <c r="H15" s="4" t="s">
        <v>1489</v>
      </c>
      <c r="I15" s="4">
        <v>1088</v>
      </c>
      <c r="J15" s="4" t="s">
        <v>1490</v>
      </c>
      <c r="K15" s="4">
        <f t="shared" si="3"/>
        <v>1012</v>
      </c>
    </row>
    <row r="16" spans="1:11" x14ac:dyDescent="0.25">
      <c r="A16" s="5" t="s">
        <v>1487</v>
      </c>
      <c r="B16" s="5" t="s">
        <v>1491</v>
      </c>
      <c r="C16" s="5" t="s">
        <v>27</v>
      </c>
      <c r="D16" s="5" t="s">
        <v>1085</v>
      </c>
      <c r="E16" s="4">
        <v>2400</v>
      </c>
      <c r="F16" s="5"/>
      <c r="G16" s="4" t="s">
        <v>1172</v>
      </c>
      <c r="H16" s="4" t="s">
        <v>1487</v>
      </c>
      <c r="I16" s="4">
        <v>957</v>
      </c>
      <c r="J16" s="4" t="s">
        <v>66</v>
      </c>
      <c r="K16" s="4">
        <f t="shared" si="3"/>
        <v>1443</v>
      </c>
    </row>
    <row r="17" spans="1:11" x14ac:dyDescent="0.25">
      <c r="A17" s="5" t="s">
        <v>1487</v>
      </c>
      <c r="B17" s="5" t="s">
        <v>1492</v>
      </c>
      <c r="C17" s="5" t="s">
        <v>27</v>
      </c>
      <c r="D17" s="5" t="s">
        <v>1085</v>
      </c>
      <c r="E17" s="4">
        <v>800</v>
      </c>
      <c r="F17" s="5"/>
      <c r="G17" s="4" t="s">
        <v>37</v>
      </c>
      <c r="H17" s="4" t="s">
        <v>37</v>
      </c>
      <c r="I17" s="4">
        <v>0</v>
      </c>
      <c r="J17" s="4" t="s">
        <v>37</v>
      </c>
      <c r="K17" s="4">
        <f t="shared" si="3"/>
        <v>800</v>
      </c>
    </row>
    <row r="18" spans="1:11" x14ac:dyDescent="0.25">
      <c r="A18" s="5" t="s">
        <v>1487</v>
      </c>
      <c r="B18" s="5" t="s">
        <v>1493</v>
      </c>
      <c r="C18" s="5" t="s">
        <v>27</v>
      </c>
      <c r="D18" s="5" t="s">
        <v>1085</v>
      </c>
      <c r="E18" s="4">
        <v>3000</v>
      </c>
      <c r="F18" s="5"/>
      <c r="G18" s="4" t="s">
        <v>37</v>
      </c>
      <c r="H18" s="4" t="s">
        <v>37</v>
      </c>
      <c r="I18" s="4">
        <v>0</v>
      </c>
      <c r="J18" s="4" t="s">
        <v>37</v>
      </c>
      <c r="K18" s="4">
        <f t="shared" si="0"/>
        <v>3000</v>
      </c>
    </row>
    <row r="19" spans="1:11" x14ac:dyDescent="0.25">
      <c r="A19" s="5" t="s">
        <v>1494</v>
      </c>
      <c r="B19" s="5" t="s">
        <v>1495</v>
      </c>
      <c r="C19" s="5" t="s">
        <v>27</v>
      </c>
      <c r="D19" s="5" t="s">
        <v>1085</v>
      </c>
      <c r="E19" s="4">
        <v>600</v>
      </c>
      <c r="F19" s="5"/>
      <c r="G19" s="4" t="s">
        <v>37</v>
      </c>
      <c r="H19" s="4" t="s">
        <v>37</v>
      </c>
      <c r="I19" s="4">
        <v>0</v>
      </c>
      <c r="J19" s="4" t="s">
        <v>37</v>
      </c>
      <c r="K19" s="4">
        <f t="shared" si="0"/>
        <v>600</v>
      </c>
    </row>
    <row r="20" spans="1:11" x14ac:dyDescent="0.25">
      <c r="A20" s="5" t="s">
        <v>1494</v>
      </c>
      <c r="B20" s="5" t="s">
        <v>1496</v>
      </c>
      <c r="C20" s="5" t="s">
        <v>27</v>
      </c>
      <c r="D20" s="5" t="s">
        <v>1085</v>
      </c>
      <c r="E20" s="4">
        <v>500</v>
      </c>
      <c r="F20" s="5"/>
      <c r="G20" s="4" t="s">
        <v>37</v>
      </c>
      <c r="H20" s="4" t="s">
        <v>37</v>
      </c>
      <c r="I20" s="4">
        <v>0</v>
      </c>
      <c r="J20" s="4" t="s">
        <v>37</v>
      </c>
      <c r="K20" s="4">
        <f t="shared" si="0"/>
        <v>500</v>
      </c>
    </row>
    <row r="21" spans="1:11" x14ac:dyDescent="0.25">
      <c r="A21" s="5" t="s">
        <v>1494</v>
      </c>
      <c r="B21" s="5" t="s">
        <v>1497</v>
      </c>
      <c r="C21" s="5" t="s">
        <v>27</v>
      </c>
      <c r="D21" s="5" t="s">
        <v>1085</v>
      </c>
      <c r="E21" s="4">
        <v>3364</v>
      </c>
      <c r="F21" s="5"/>
      <c r="G21" s="4" t="s">
        <v>178</v>
      </c>
      <c r="H21" s="4" t="s">
        <v>66</v>
      </c>
      <c r="I21" s="4">
        <v>1300</v>
      </c>
      <c r="J21" s="4" t="s">
        <v>66</v>
      </c>
      <c r="K21" s="4">
        <f t="shared" si="0"/>
        <v>2064</v>
      </c>
    </row>
    <row r="22" spans="1:11" x14ac:dyDescent="0.25">
      <c r="H22" s="10"/>
      <c r="J22" s="10"/>
    </row>
    <row r="23" spans="1:11" x14ac:dyDescent="0.25">
      <c r="F23" s="16"/>
    </row>
    <row r="24" spans="1:11" x14ac:dyDescent="0.25">
      <c r="F24" s="16"/>
    </row>
    <row r="25" spans="1:11" x14ac:dyDescent="0.25">
      <c r="F25" s="16"/>
      <c r="H25" s="10"/>
      <c r="J25" s="10"/>
    </row>
    <row r="26" spans="1:11" x14ac:dyDescent="0.25">
      <c r="F26" s="16"/>
      <c r="J26" s="10"/>
    </row>
    <row r="27" spans="1:11" x14ac:dyDescent="0.25">
      <c r="F27" s="16"/>
      <c r="J27" s="10"/>
    </row>
    <row r="28" spans="1:11" x14ac:dyDescent="0.25">
      <c r="F28" s="16"/>
      <c r="J28" s="10"/>
    </row>
    <row r="29" spans="1:11" x14ac:dyDescent="0.25">
      <c r="F29" s="16"/>
      <c r="J29" s="10"/>
      <c r="K29" s="10">
        <f t="shared" si="0"/>
        <v>0</v>
      </c>
    </row>
    <row r="30" spans="1:11" x14ac:dyDescent="0.25">
      <c r="F30" s="16"/>
      <c r="J30" s="10"/>
    </row>
    <row r="31" spans="1:11" x14ac:dyDescent="0.25">
      <c r="F31" s="16"/>
      <c r="J31" s="10"/>
    </row>
    <row r="32" spans="1:11" s="11" customFormat="1" x14ac:dyDescent="0.25">
      <c r="E32" s="12"/>
      <c r="F32" s="17"/>
      <c r="G32" s="12"/>
      <c r="I32" s="12"/>
      <c r="K32" s="12"/>
    </row>
    <row r="33" spans="1:21" x14ac:dyDescent="0.25">
      <c r="F33" s="16"/>
    </row>
    <row r="34" spans="1:21" x14ac:dyDescent="0.25">
      <c r="A34" s="21" t="s">
        <v>1475</v>
      </c>
      <c r="B34" s="21" t="s">
        <v>1062</v>
      </c>
      <c r="C34" s="22">
        <v>3500</v>
      </c>
      <c r="H34" s="10"/>
      <c r="J34" s="10"/>
    </row>
    <row r="35" spans="1:21" s="10" customFormat="1" x14ac:dyDescent="0.25">
      <c r="A35" s="19" t="s">
        <v>1475</v>
      </c>
      <c r="B35" s="19" t="s">
        <v>1063</v>
      </c>
      <c r="C35" s="20">
        <v>4000</v>
      </c>
      <c r="D35" s="9"/>
      <c r="F35" s="16"/>
      <c r="H35" s="9"/>
      <c r="J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s="10" customFormat="1" x14ac:dyDescent="0.25">
      <c r="A36" s="21" t="s">
        <v>1476</v>
      </c>
      <c r="B36" s="21" t="s">
        <v>1062</v>
      </c>
      <c r="C36" s="22">
        <v>3500</v>
      </c>
      <c r="D36" s="9"/>
      <c r="F36" s="16"/>
      <c r="H36" s="9"/>
      <c r="J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s="10" customFormat="1" x14ac:dyDescent="0.25">
      <c r="A37" s="19" t="s">
        <v>1476</v>
      </c>
      <c r="B37" s="19" t="s">
        <v>1063</v>
      </c>
      <c r="C37" s="20">
        <v>4000</v>
      </c>
      <c r="D37" s="9"/>
      <c r="F37" s="16"/>
      <c r="H37" s="16"/>
      <c r="J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s="10" customFormat="1" x14ac:dyDescent="0.25">
      <c r="A38" s="19" t="s">
        <v>1476</v>
      </c>
      <c r="B38" s="19" t="s">
        <v>1292</v>
      </c>
      <c r="C38" s="20">
        <v>1500</v>
      </c>
      <c r="D38" s="9"/>
      <c r="F38" s="16"/>
      <c r="H38" s="16"/>
      <c r="J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s="10" customFormat="1" x14ac:dyDescent="0.25">
      <c r="A39" s="19" t="s">
        <v>1476</v>
      </c>
      <c r="B39" s="19" t="s">
        <v>206</v>
      </c>
      <c r="C39" s="20">
        <v>6600</v>
      </c>
      <c r="D39" s="9"/>
      <c r="F39" s="9"/>
      <c r="H39" s="9"/>
      <c r="J39" s="9"/>
    </row>
    <row r="40" spans="1:21" s="10" customFormat="1" x14ac:dyDescent="0.25">
      <c r="A40" s="19" t="s">
        <v>1476</v>
      </c>
      <c r="B40" s="19" t="s">
        <v>648</v>
      </c>
      <c r="C40" s="20">
        <v>1000</v>
      </c>
      <c r="D40" s="9"/>
      <c r="F40" s="9"/>
      <c r="H40" s="9"/>
      <c r="J40" s="9"/>
    </row>
    <row r="41" spans="1:21" s="10" customFormat="1" x14ac:dyDescent="0.25">
      <c r="A41" s="19" t="s">
        <v>1476</v>
      </c>
      <c r="B41" s="19" t="s">
        <v>1026</v>
      </c>
      <c r="C41" s="20">
        <v>1500</v>
      </c>
      <c r="D41" s="9"/>
      <c r="F41" s="9"/>
      <c r="H41" s="9"/>
      <c r="J41" s="9"/>
    </row>
    <row r="42" spans="1:21" s="10" customFormat="1" x14ac:dyDescent="0.25">
      <c r="A42" s="19" t="s">
        <v>1476</v>
      </c>
      <c r="B42" s="9" t="s">
        <v>72</v>
      </c>
      <c r="C42" s="10">
        <v>550</v>
      </c>
      <c r="D42" s="9"/>
      <c r="F42" s="9"/>
      <c r="H42" s="9"/>
      <c r="J42" s="9"/>
    </row>
    <row r="43" spans="1:21" s="10" customFormat="1" x14ac:dyDescent="0.25">
      <c r="A43" s="19" t="s">
        <v>1476</v>
      </c>
      <c r="B43" s="9" t="s">
        <v>1477</v>
      </c>
      <c r="C43" s="10">
        <v>3000</v>
      </c>
      <c r="D43" s="9"/>
      <c r="F43" s="9"/>
      <c r="H43" s="9"/>
      <c r="J43" s="9"/>
    </row>
    <row r="44" spans="1:21" s="10" customFormat="1" x14ac:dyDescent="0.25">
      <c r="A44" s="19"/>
      <c r="B44" s="19"/>
      <c r="C44" s="20"/>
      <c r="D44" s="9"/>
      <c r="F44" s="9"/>
      <c r="H44" s="9"/>
      <c r="J44" s="9"/>
    </row>
    <row r="45" spans="1:21" s="10" customFormat="1" x14ac:dyDescent="0.25">
      <c r="A45" s="9"/>
      <c r="B45" s="19"/>
      <c r="C45" s="20"/>
      <c r="D45" s="9"/>
      <c r="F45" s="9"/>
      <c r="H45" s="9"/>
      <c r="J45" s="9"/>
    </row>
    <row r="46" spans="1:21" s="10" customFormat="1" x14ac:dyDescent="0.25">
      <c r="A46" s="9"/>
      <c r="B46" s="9"/>
      <c r="D46" s="9"/>
      <c r="F46" s="9"/>
      <c r="H46" s="9"/>
      <c r="J46" s="9"/>
    </row>
    <row r="47" spans="1:21" s="10" customFormat="1" x14ac:dyDescent="0.25">
      <c r="A47" s="9"/>
      <c r="B47" s="9"/>
      <c r="D47" s="9"/>
      <c r="F47" s="9"/>
    </row>
    <row r="48" spans="1:21" s="10" customFormat="1" x14ac:dyDescent="0.25">
      <c r="A48" s="9"/>
      <c r="B48" s="9"/>
      <c r="D48" s="9"/>
      <c r="F48" s="9"/>
    </row>
    <row r="49" spans="1:10" s="10" customFormat="1" x14ac:dyDescent="0.25">
      <c r="A49" s="9"/>
      <c r="B49" s="9"/>
      <c r="D49" s="9"/>
      <c r="F49" s="9"/>
    </row>
    <row r="50" spans="1:10" s="10" customFormat="1" x14ac:dyDescent="0.25">
      <c r="A50" s="9"/>
      <c r="B50" s="9"/>
      <c r="D50" s="9"/>
      <c r="F50" s="9"/>
    </row>
    <row r="51" spans="1:10" s="10" customFormat="1" x14ac:dyDescent="0.25">
      <c r="A51" s="9"/>
      <c r="B51" s="9"/>
      <c r="C51" s="9"/>
      <c r="D51" s="9"/>
      <c r="F51" s="9"/>
    </row>
    <row r="52" spans="1:10" s="10" customFormat="1" x14ac:dyDescent="0.25"/>
    <row r="53" spans="1:10" s="10" customFormat="1" x14ac:dyDescent="0.25"/>
    <row r="54" spans="1:10" s="10" customFormat="1" x14ac:dyDescent="0.25"/>
    <row r="55" spans="1:10" s="10" customFormat="1" x14ac:dyDescent="0.25"/>
    <row r="56" spans="1:10" s="10" customFormat="1" x14ac:dyDescent="0.25"/>
    <row r="57" spans="1:10" s="10" customFormat="1" x14ac:dyDescent="0.25"/>
    <row r="58" spans="1:10" s="10" customFormat="1" x14ac:dyDescent="0.25"/>
    <row r="59" spans="1:10" s="10" customFormat="1" x14ac:dyDescent="0.25">
      <c r="H59" s="9"/>
      <c r="J59" s="9"/>
    </row>
    <row r="60" spans="1:10" s="10" customFormat="1" x14ac:dyDescent="0.25">
      <c r="H60" s="9"/>
      <c r="J60" s="9"/>
    </row>
    <row r="61" spans="1:10" s="10" customFormat="1" x14ac:dyDescent="0.25">
      <c r="H61" s="9"/>
      <c r="J61" s="9"/>
    </row>
    <row r="62" spans="1:10" s="10" customFormat="1" x14ac:dyDescent="0.25">
      <c r="H62" s="9"/>
      <c r="J62" s="9"/>
    </row>
    <row r="63" spans="1:10" s="10" customFormat="1" x14ac:dyDescent="0.25">
      <c r="H63" s="9"/>
      <c r="J63" s="9"/>
    </row>
    <row r="64" spans="1:10" s="10" customFormat="1" x14ac:dyDescent="0.25">
      <c r="H64" s="9"/>
      <c r="J64" s="9"/>
    </row>
    <row r="65" spans="1:11" s="10" customFormat="1" x14ac:dyDescent="0.25">
      <c r="H65" s="9"/>
      <c r="J65" s="9"/>
    </row>
    <row r="66" spans="1:11" s="10" customFormat="1" x14ac:dyDescent="0.25">
      <c r="H66" s="9"/>
      <c r="J66" s="9"/>
    </row>
    <row r="67" spans="1:11" s="10" customFormat="1" x14ac:dyDescent="0.25">
      <c r="H67" s="9"/>
      <c r="J67" s="9"/>
    </row>
    <row r="68" spans="1:11" s="10" customFormat="1" x14ac:dyDescent="0.25">
      <c r="H68" s="9"/>
      <c r="J68" s="9"/>
    </row>
    <row r="69" spans="1:11" s="10" customFormat="1" x14ac:dyDescent="0.25">
      <c r="H69" s="9"/>
      <c r="J69" s="9"/>
    </row>
    <row r="70" spans="1:11" s="10" customFormat="1" x14ac:dyDescent="0.25">
      <c r="H70" s="9"/>
      <c r="J70" s="9"/>
    </row>
    <row r="71" spans="1:11" s="10" customFormat="1" x14ac:dyDescent="0.25">
      <c r="H71" s="9"/>
      <c r="J71" s="9"/>
    </row>
    <row r="72" spans="1:11" s="10" customFormat="1" x14ac:dyDescent="0.25">
      <c r="H72" s="9"/>
      <c r="J72" s="9"/>
    </row>
    <row r="73" spans="1:11" s="11" customFormat="1" x14ac:dyDescent="0.25">
      <c r="C73" s="12"/>
      <c r="E73" s="12"/>
      <c r="G73" s="12"/>
      <c r="I73" s="12"/>
      <c r="K73" s="12"/>
    </row>
    <row r="74" spans="1:11" x14ac:dyDescent="0.25">
      <c r="C74" s="10"/>
    </row>
    <row r="75" spans="1:11" x14ac:dyDescent="0.25">
      <c r="A75" s="13"/>
      <c r="C75" s="10"/>
    </row>
    <row r="76" spans="1:11" x14ac:dyDescent="0.25">
      <c r="C76" s="10"/>
    </row>
    <row r="77" spans="1:11" x14ac:dyDescent="0.25">
      <c r="C77" s="10"/>
    </row>
    <row r="78" spans="1:11" x14ac:dyDescent="0.25">
      <c r="C78" s="10"/>
    </row>
    <row r="79" spans="1:11" x14ac:dyDescent="0.25">
      <c r="C79" s="10"/>
    </row>
    <row r="80" spans="1:11" x14ac:dyDescent="0.25"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84" spans="3:3" x14ac:dyDescent="0.25">
      <c r="C84" s="10"/>
    </row>
    <row r="85" spans="3:3" x14ac:dyDescent="0.25">
      <c r="C85" s="10"/>
    </row>
    <row r="86" spans="3:3" x14ac:dyDescent="0.25">
      <c r="C86" s="10"/>
    </row>
    <row r="87" spans="3:3" x14ac:dyDescent="0.25">
      <c r="C87" s="10"/>
    </row>
    <row r="88" spans="3:3" x14ac:dyDescent="0.25">
      <c r="C88" s="10"/>
    </row>
    <row r="89" spans="3:3" x14ac:dyDescent="0.25">
      <c r="C89" s="10"/>
    </row>
    <row r="90" spans="3:3" x14ac:dyDescent="0.25">
      <c r="C90" s="10"/>
    </row>
    <row r="91" spans="3:3" x14ac:dyDescent="0.25">
      <c r="C91" s="10"/>
    </row>
    <row r="1048557" spans="1:21" s="10" customFormat="1" x14ac:dyDescent="0.25">
      <c r="A1048557" s="9"/>
      <c r="B1048557" s="9"/>
      <c r="C1048557" s="9"/>
      <c r="D1048557" s="9"/>
      <c r="F1048557" s="9"/>
      <c r="H1048557" s="9"/>
      <c r="L1048557" s="9"/>
      <c r="M1048557" s="9"/>
      <c r="N1048557" s="9"/>
      <c r="O1048557" s="9"/>
      <c r="P1048557" s="9"/>
      <c r="Q1048557" s="9"/>
      <c r="R1048557" s="9"/>
      <c r="S1048557" s="9"/>
      <c r="T1048557" s="9"/>
      <c r="U1048557" s="9"/>
    </row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BAB3-A286-4D29-B7DB-BA149A2F3C01}">
  <dimension ref="A1:U1048557"/>
  <sheetViews>
    <sheetView workbookViewId="0">
      <pane ySplit="3" topLeftCell="A4" activePane="bottomLeft" state="frozen"/>
      <selection activeCell="K26" activeCellId="1" sqref="K29:K30 K26"/>
      <selection pane="bottomLeft" activeCell="A37" sqref="A37"/>
    </sheetView>
  </sheetViews>
  <sheetFormatPr baseColWidth="10" defaultColWidth="10.7109375" defaultRowHeight="15" x14ac:dyDescent="0.25"/>
  <cols>
    <col min="1" max="1" width="22.7109375" style="9" customWidth="1"/>
    <col min="2" max="2" width="59.7109375" style="9" customWidth="1"/>
    <col min="3" max="3" width="22.42578125" style="9" customWidth="1"/>
    <col min="4" max="4" width="37.5703125" style="9" customWidth="1"/>
    <col min="5" max="5" width="10.7109375" style="10"/>
    <col min="6" max="6" width="6.140625" style="9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1" s="11" customFormat="1" x14ac:dyDescent="0.25">
      <c r="A1" s="11" t="s">
        <v>0</v>
      </c>
      <c r="E1" s="12"/>
      <c r="G1" s="12"/>
      <c r="I1" s="12"/>
    </row>
    <row r="3" spans="1:11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29" t="s">
        <v>1382</v>
      </c>
    </row>
    <row r="4" spans="1:11" x14ac:dyDescent="0.25">
      <c r="A4" s="27" t="s">
        <v>1498</v>
      </c>
      <c r="B4" s="5" t="s">
        <v>1499</v>
      </c>
      <c r="C4" s="5" t="s">
        <v>27</v>
      </c>
      <c r="D4" s="5" t="s">
        <v>1085</v>
      </c>
      <c r="E4" s="4">
        <v>1850</v>
      </c>
      <c r="F4" s="5"/>
      <c r="G4" s="4" t="s">
        <v>75</v>
      </c>
      <c r="H4" s="28" t="s">
        <v>1498</v>
      </c>
      <c r="I4" s="4">
        <v>1000</v>
      </c>
      <c r="J4" s="4" t="s">
        <v>66</v>
      </c>
      <c r="K4" s="4">
        <f t="shared" ref="K4:K29" si="0">E4-I4</f>
        <v>850</v>
      </c>
    </row>
    <row r="5" spans="1:11" x14ac:dyDescent="0.25">
      <c r="A5" s="5" t="s">
        <v>1498</v>
      </c>
      <c r="B5" s="5" t="s">
        <v>1500</v>
      </c>
      <c r="C5" s="5" t="s">
        <v>27</v>
      </c>
      <c r="D5" s="5" t="s">
        <v>1085</v>
      </c>
      <c r="E5" s="4">
        <v>350</v>
      </c>
      <c r="F5" s="5"/>
      <c r="G5" s="4">
        <v>0</v>
      </c>
      <c r="H5" s="28" t="s">
        <v>1498</v>
      </c>
      <c r="I5" s="4">
        <v>0</v>
      </c>
      <c r="J5" s="4" t="s">
        <v>37</v>
      </c>
      <c r="K5" s="4">
        <f t="shared" si="0"/>
        <v>350</v>
      </c>
    </row>
    <row r="6" spans="1:11" x14ac:dyDescent="0.25">
      <c r="A6" s="5" t="s">
        <v>1498</v>
      </c>
      <c r="B6" s="5" t="s">
        <v>1501</v>
      </c>
      <c r="C6" s="5" t="s">
        <v>27</v>
      </c>
      <c r="D6" s="5" t="s">
        <v>1085</v>
      </c>
      <c r="E6" s="4">
        <v>2650</v>
      </c>
      <c r="F6" s="5"/>
      <c r="G6" s="4" t="s">
        <v>1502</v>
      </c>
      <c r="H6" s="28" t="s">
        <v>1498</v>
      </c>
      <c r="I6" s="4">
        <v>1350</v>
      </c>
      <c r="J6" s="4" t="s">
        <v>37</v>
      </c>
      <c r="K6" s="4">
        <f t="shared" si="0"/>
        <v>1300</v>
      </c>
    </row>
    <row r="7" spans="1:11" x14ac:dyDescent="0.25">
      <c r="A7" s="5" t="s">
        <v>1498</v>
      </c>
      <c r="B7" s="5" t="s">
        <v>439</v>
      </c>
      <c r="C7" s="5" t="s">
        <v>27</v>
      </c>
      <c r="D7" s="5" t="s">
        <v>1085</v>
      </c>
      <c r="E7" s="4">
        <f>1200+250</f>
        <v>1450</v>
      </c>
      <c r="F7" s="5"/>
      <c r="G7" s="4" t="s">
        <v>37</v>
      </c>
      <c r="H7" s="28" t="s">
        <v>37</v>
      </c>
      <c r="I7" s="4">
        <v>0</v>
      </c>
      <c r="J7" s="4" t="s">
        <v>37</v>
      </c>
      <c r="K7" s="4">
        <f t="shared" si="0"/>
        <v>1450</v>
      </c>
    </row>
    <row r="8" spans="1:11" x14ac:dyDescent="0.25">
      <c r="A8" s="5" t="s">
        <v>1498</v>
      </c>
      <c r="B8" s="5" t="s">
        <v>1503</v>
      </c>
      <c r="C8" s="5" t="s">
        <v>27</v>
      </c>
      <c r="D8" s="5" t="s">
        <v>1085</v>
      </c>
      <c r="E8" s="4">
        <v>1200</v>
      </c>
      <c r="F8" s="5"/>
      <c r="G8" s="4" t="s">
        <v>1504</v>
      </c>
      <c r="H8" s="28" t="s">
        <v>1498</v>
      </c>
      <c r="I8" s="4">
        <v>300</v>
      </c>
      <c r="J8" s="4" t="s">
        <v>912</v>
      </c>
      <c r="K8" s="4">
        <f t="shared" si="0"/>
        <v>900</v>
      </c>
    </row>
    <row r="9" spans="1:11" x14ac:dyDescent="0.25">
      <c r="A9" s="5" t="s">
        <v>1498</v>
      </c>
      <c r="B9" s="5" t="s">
        <v>1506</v>
      </c>
      <c r="C9" s="5" t="s">
        <v>27</v>
      </c>
      <c r="D9" s="5" t="s">
        <v>1085</v>
      </c>
      <c r="E9" s="4">
        <v>600</v>
      </c>
      <c r="F9" s="5"/>
      <c r="G9" s="4" t="s">
        <v>1502</v>
      </c>
      <c r="H9" s="4" t="s">
        <v>37</v>
      </c>
      <c r="I9" s="4">
        <v>1800</v>
      </c>
      <c r="J9" s="4" t="s">
        <v>912</v>
      </c>
      <c r="K9" s="4">
        <f t="shared" si="0"/>
        <v>-1200</v>
      </c>
    </row>
    <row r="10" spans="1:11" x14ac:dyDescent="0.25">
      <c r="A10" s="5" t="s">
        <v>1498</v>
      </c>
      <c r="B10" s="5" t="s">
        <v>719</v>
      </c>
      <c r="C10" s="5" t="s">
        <v>27</v>
      </c>
      <c r="D10" s="5" t="s">
        <v>1085</v>
      </c>
      <c r="E10" s="4">
        <v>800</v>
      </c>
      <c r="F10" s="5"/>
      <c r="G10" s="4" t="s">
        <v>37</v>
      </c>
      <c r="H10" s="4" t="s">
        <v>37</v>
      </c>
      <c r="I10" s="4">
        <v>0</v>
      </c>
      <c r="J10" s="4"/>
      <c r="K10" s="4">
        <f t="shared" si="0"/>
        <v>800</v>
      </c>
    </row>
    <row r="11" spans="1:11" x14ac:dyDescent="0.25">
      <c r="A11" s="5" t="s">
        <v>1498</v>
      </c>
      <c r="B11" s="5" t="s">
        <v>1505</v>
      </c>
      <c r="C11" s="5" t="s">
        <v>27</v>
      </c>
      <c r="D11" s="5" t="s">
        <v>1085</v>
      </c>
      <c r="E11" s="4">
        <v>800</v>
      </c>
      <c r="F11" s="5"/>
      <c r="G11" s="4" t="s">
        <v>37</v>
      </c>
      <c r="H11" s="4" t="s">
        <v>37</v>
      </c>
      <c r="I11" s="4">
        <v>0</v>
      </c>
      <c r="J11" s="4"/>
      <c r="K11" s="4">
        <f t="shared" ref="K11" si="1">E11-I11</f>
        <v>800</v>
      </c>
    </row>
    <row r="12" spans="1:11" x14ac:dyDescent="0.25">
      <c r="A12" s="5" t="s">
        <v>1507</v>
      </c>
      <c r="B12" s="5" t="s">
        <v>1508</v>
      </c>
      <c r="C12" s="5" t="s">
        <v>27</v>
      </c>
      <c r="D12" s="5" t="s">
        <v>1085</v>
      </c>
      <c r="E12" s="4">
        <v>1200</v>
      </c>
      <c r="F12" s="5"/>
      <c r="G12" s="4" t="s">
        <v>37</v>
      </c>
      <c r="H12" s="4" t="s">
        <v>37</v>
      </c>
      <c r="I12" s="4">
        <v>0</v>
      </c>
      <c r="J12" s="4"/>
      <c r="K12" s="4">
        <f t="shared" ref="K12" si="2">E12-I12</f>
        <v>1200</v>
      </c>
    </row>
    <row r="13" spans="1:11" x14ac:dyDescent="0.25">
      <c r="A13" s="31"/>
      <c r="H13" s="10"/>
      <c r="J13" s="10"/>
    </row>
    <row r="14" spans="1:11" x14ac:dyDescent="0.25">
      <c r="H14" s="10"/>
      <c r="J14" s="10"/>
    </row>
    <row r="15" spans="1:11" x14ac:dyDescent="0.25">
      <c r="H15" s="10"/>
      <c r="J15" s="10"/>
    </row>
    <row r="16" spans="1:11" x14ac:dyDescent="0.25">
      <c r="H16" s="10"/>
      <c r="J16" s="10"/>
    </row>
    <row r="17" spans="5:11" x14ac:dyDescent="0.25">
      <c r="H17" s="10"/>
      <c r="J17" s="10"/>
    </row>
    <row r="18" spans="5:11" x14ac:dyDescent="0.25">
      <c r="H18" s="10"/>
      <c r="J18" s="10"/>
    </row>
    <row r="19" spans="5:11" x14ac:dyDescent="0.25">
      <c r="H19" s="10"/>
      <c r="J19" s="10"/>
    </row>
    <row r="20" spans="5:11" x14ac:dyDescent="0.25">
      <c r="H20" s="10"/>
      <c r="J20" s="10"/>
    </row>
    <row r="21" spans="5:11" x14ac:dyDescent="0.25">
      <c r="H21" s="10"/>
      <c r="J21" s="10"/>
    </row>
    <row r="22" spans="5:11" x14ac:dyDescent="0.25">
      <c r="H22" s="10"/>
      <c r="J22" s="10"/>
    </row>
    <row r="23" spans="5:11" x14ac:dyDescent="0.25">
      <c r="F23" s="16"/>
    </row>
    <row r="24" spans="5:11" x14ac:dyDescent="0.25">
      <c r="F24" s="16"/>
    </row>
    <row r="25" spans="5:11" x14ac:dyDescent="0.25">
      <c r="F25" s="16"/>
      <c r="H25" s="10"/>
      <c r="J25" s="10"/>
    </row>
    <row r="26" spans="5:11" x14ac:dyDescent="0.25">
      <c r="F26" s="16"/>
      <c r="J26" s="10"/>
    </row>
    <row r="27" spans="5:11" x14ac:dyDescent="0.25">
      <c r="F27" s="16"/>
      <c r="J27" s="10"/>
    </row>
    <row r="28" spans="5:11" x14ac:dyDescent="0.25">
      <c r="F28" s="16"/>
      <c r="J28" s="10"/>
    </row>
    <row r="29" spans="5:11" x14ac:dyDescent="0.25">
      <c r="F29" s="16"/>
      <c r="J29" s="10"/>
      <c r="K29" s="10">
        <f t="shared" si="0"/>
        <v>0</v>
      </c>
    </row>
    <row r="30" spans="5:11" x14ac:dyDescent="0.25">
      <c r="F30" s="16"/>
      <c r="J30" s="10"/>
    </row>
    <row r="31" spans="5:11" x14ac:dyDescent="0.25">
      <c r="F31" s="16"/>
      <c r="J31" s="10"/>
    </row>
    <row r="32" spans="5:11" s="11" customFormat="1" x14ac:dyDescent="0.25">
      <c r="E32" s="12"/>
      <c r="F32" s="17"/>
      <c r="G32" s="12"/>
      <c r="I32" s="12"/>
      <c r="K32" s="12"/>
    </row>
    <row r="33" spans="1:21" x14ac:dyDescent="0.25">
      <c r="F33" s="16"/>
    </row>
    <row r="34" spans="1:21" x14ac:dyDescent="0.25">
      <c r="A34" s="21" t="s">
        <v>1475</v>
      </c>
      <c r="B34" s="21" t="s">
        <v>1062</v>
      </c>
      <c r="C34" s="22">
        <v>3500</v>
      </c>
      <c r="H34" s="10"/>
      <c r="J34" s="10"/>
    </row>
    <row r="35" spans="1:21" s="10" customFormat="1" x14ac:dyDescent="0.25">
      <c r="A35" s="19" t="s">
        <v>1475</v>
      </c>
      <c r="B35" s="19" t="s">
        <v>1063</v>
      </c>
      <c r="C35" s="20">
        <v>4000</v>
      </c>
      <c r="D35" s="9"/>
      <c r="F35" s="16"/>
      <c r="H35" s="9"/>
      <c r="J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s="10" customFormat="1" x14ac:dyDescent="0.25">
      <c r="A36" s="21" t="s">
        <v>1476</v>
      </c>
      <c r="B36" s="21" t="s">
        <v>1062</v>
      </c>
      <c r="C36" s="22">
        <v>3500</v>
      </c>
      <c r="D36" s="9"/>
      <c r="F36" s="16"/>
      <c r="H36" s="9"/>
      <c r="J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s="10" customFormat="1" x14ac:dyDescent="0.25">
      <c r="A37" s="19" t="s">
        <v>1476</v>
      </c>
      <c r="B37" s="19" t="s">
        <v>1063</v>
      </c>
      <c r="C37" s="20">
        <v>4000</v>
      </c>
      <c r="D37" s="9"/>
      <c r="F37" s="16"/>
      <c r="H37" s="16"/>
      <c r="J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s="10" customFormat="1" x14ac:dyDescent="0.25">
      <c r="A38" s="19" t="s">
        <v>1476</v>
      </c>
      <c r="B38" s="19" t="s">
        <v>1292</v>
      </c>
      <c r="C38" s="20">
        <v>1500</v>
      </c>
      <c r="D38" s="9"/>
      <c r="F38" s="16"/>
      <c r="H38" s="16"/>
      <c r="J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s="10" customFormat="1" x14ac:dyDescent="0.25">
      <c r="A39" s="19" t="s">
        <v>1476</v>
      </c>
      <c r="B39" s="19" t="s">
        <v>206</v>
      </c>
      <c r="C39" s="20">
        <v>6600</v>
      </c>
      <c r="D39" s="9"/>
      <c r="F39" s="9"/>
      <c r="H39" s="9"/>
      <c r="J39" s="9"/>
    </row>
    <row r="40" spans="1:21" s="10" customFormat="1" x14ac:dyDescent="0.25">
      <c r="A40" s="19" t="s">
        <v>1476</v>
      </c>
      <c r="B40" s="19" t="s">
        <v>648</v>
      </c>
      <c r="C40" s="20">
        <v>1000</v>
      </c>
      <c r="D40" s="9"/>
      <c r="F40" s="9"/>
      <c r="H40" s="9"/>
      <c r="J40" s="9"/>
    </row>
    <row r="41" spans="1:21" s="10" customFormat="1" x14ac:dyDescent="0.25">
      <c r="A41" s="19" t="s">
        <v>1476</v>
      </c>
      <c r="B41" s="19" t="s">
        <v>1026</v>
      </c>
      <c r="C41" s="20">
        <v>1500</v>
      </c>
      <c r="D41" s="9"/>
      <c r="F41" s="9"/>
      <c r="H41" s="9"/>
      <c r="J41" s="9"/>
    </row>
    <row r="42" spans="1:21" s="10" customFormat="1" x14ac:dyDescent="0.25">
      <c r="A42" s="19" t="s">
        <v>1476</v>
      </c>
      <c r="B42" s="9" t="s">
        <v>72</v>
      </c>
      <c r="C42" s="10">
        <v>550</v>
      </c>
      <c r="D42" s="9"/>
      <c r="F42" s="9"/>
      <c r="H42" s="9"/>
      <c r="J42" s="9"/>
    </row>
    <row r="43" spans="1:21" s="10" customFormat="1" x14ac:dyDescent="0.25">
      <c r="A43" s="19" t="s">
        <v>1476</v>
      </c>
      <c r="B43" s="9" t="s">
        <v>1477</v>
      </c>
      <c r="C43" s="10">
        <v>3000</v>
      </c>
      <c r="D43" s="9"/>
      <c r="F43" s="9"/>
      <c r="H43" s="9"/>
      <c r="J43" s="9"/>
    </row>
    <row r="44" spans="1:21" s="10" customFormat="1" x14ac:dyDescent="0.25">
      <c r="A44" s="19"/>
      <c r="B44" s="19"/>
      <c r="C44" s="20"/>
      <c r="D44" s="9"/>
      <c r="F44" s="9"/>
      <c r="H44" s="9"/>
      <c r="J44" s="9"/>
    </row>
    <row r="45" spans="1:21" s="10" customFormat="1" x14ac:dyDescent="0.25">
      <c r="A45" s="9"/>
      <c r="B45" s="19"/>
      <c r="C45" s="20"/>
      <c r="D45" s="9"/>
      <c r="F45" s="9"/>
      <c r="H45" s="9"/>
      <c r="J45" s="9"/>
    </row>
    <row r="46" spans="1:21" s="10" customFormat="1" x14ac:dyDescent="0.25">
      <c r="A46" s="9"/>
      <c r="B46" s="9"/>
      <c r="D46" s="9"/>
      <c r="F46" s="9"/>
      <c r="H46" s="9"/>
      <c r="J46" s="9"/>
    </row>
    <row r="47" spans="1:21" s="10" customFormat="1" x14ac:dyDescent="0.25">
      <c r="A47" s="9"/>
      <c r="B47" s="9"/>
      <c r="D47" s="9"/>
      <c r="F47" s="9"/>
    </row>
    <row r="48" spans="1:21" s="10" customFormat="1" x14ac:dyDescent="0.25">
      <c r="A48" s="9"/>
      <c r="B48" s="9"/>
      <c r="D48" s="9"/>
      <c r="F48" s="9"/>
    </row>
    <row r="49" spans="1:10" s="10" customFormat="1" x14ac:dyDescent="0.25">
      <c r="A49" s="9"/>
      <c r="B49" s="9"/>
      <c r="D49" s="9"/>
      <c r="F49" s="9"/>
    </row>
    <row r="50" spans="1:10" s="10" customFormat="1" x14ac:dyDescent="0.25">
      <c r="A50" s="9"/>
      <c r="B50" s="9"/>
      <c r="D50" s="9"/>
      <c r="F50" s="9"/>
    </row>
    <row r="51" spans="1:10" s="10" customFormat="1" x14ac:dyDescent="0.25">
      <c r="A51" s="9"/>
      <c r="B51" s="9"/>
      <c r="C51" s="9"/>
      <c r="D51" s="9"/>
      <c r="F51" s="9"/>
    </row>
    <row r="52" spans="1:10" s="10" customFormat="1" x14ac:dyDescent="0.25"/>
    <row r="53" spans="1:10" s="10" customFormat="1" x14ac:dyDescent="0.25"/>
    <row r="54" spans="1:10" s="10" customFormat="1" x14ac:dyDescent="0.25"/>
    <row r="55" spans="1:10" s="10" customFormat="1" x14ac:dyDescent="0.25"/>
    <row r="56" spans="1:10" s="10" customFormat="1" x14ac:dyDescent="0.25"/>
    <row r="57" spans="1:10" s="10" customFormat="1" x14ac:dyDescent="0.25"/>
    <row r="58" spans="1:10" s="10" customFormat="1" x14ac:dyDescent="0.25"/>
    <row r="59" spans="1:10" s="10" customFormat="1" x14ac:dyDescent="0.25">
      <c r="H59" s="9"/>
      <c r="J59" s="9"/>
    </row>
    <row r="60" spans="1:10" s="10" customFormat="1" x14ac:dyDescent="0.25">
      <c r="H60" s="9"/>
      <c r="J60" s="9"/>
    </row>
    <row r="61" spans="1:10" s="10" customFormat="1" x14ac:dyDescent="0.25">
      <c r="H61" s="9"/>
      <c r="J61" s="9"/>
    </row>
    <row r="62" spans="1:10" s="10" customFormat="1" x14ac:dyDescent="0.25">
      <c r="H62" s="9"/>
      <c r="J62" s="9"/>
    </row>
    <row r="63" spans="1:10" s="10" customFormat="1" x14ac:dyDescent="0.25">
      <c r="H63" s="9"/>
      <c r="J63" s="9"/>
    </row>
    <row r="64" spans="1:10" s="10" customFormat="1" x14ac:dyDescent="0.25">
      <c r="H64" s="9"/>
      <c r="J64" s="9"/>
    </row>
    <row r="65" spans="1:11" s="10" customFormat="1" x14ac:dyDescent="0.25">
      <c r="H65" s="9"/>
      <c r="J65" s="9"/>
    </row>
    <row r="66" spans="1:11" s="10" customFormat="1" x14ac:dyDescent="0.25">
      <c r="H66" s="9"/>
      <c r="J66" s="9"/>
    </row>
    <row r="67" spans="1:11" s="10" customFormat="1" x14ac:dyDescent="0.25">
      <c r="H67" s="9"/>
      <c r="J67" s="9"/>
    </row>
    <row r="68" spans="1:11" s="10" customFormat="1" x14ac:dyDescent="0.25">
      <c r="H68" s="9"/>
      <c r="J68" s="9"/>
    </row>
    <row r="69" spans="1:11" s="10" customFormat="1" x14ac:dyDescent="0.25">
      <c r="H69" s="9"/>
      <c r="J69" s="9"/>
    </row>
    <row r="70" spans="1:11" s="10" customFormat="1" x14ac:dyDescent="0.25">
      <c r="H70" s="9"/>
      <c r="J70" s="9"/>
    </row>
    <row r="71" spans="1:11" s="10" customFormat="1" x14ac:dyDescent="0.25">
      <c r="H71" s="9"/>
      <c r="J71" s="9"/>
    </row>
    <row r="72" spans="1:11" s="10" customFormat="1" x14ac:dyDescent="0.25">
      <c r="H72" s="9"/>
      <c r="J72" s="9"/>
    </row>
    <row r="73" spans="1:11" s="11" customFormat="1" x14ac:dyDescent="0.25">
      <c r="C73" s="12"/>
      <c r="E73" s="12"/>
      <c r="G73" s="12"/>
      <c r="I73" s="12"/>
      <c r="K73" s="12"/>
    </row>
    <row r="74" spans="1:11" x14ac:dyDescent="0.25">
      <c r="C74" s="10"/>
    </row>
    <row r="75" spans="1:11" x14ac:dyDescent="0.25">
      <c r="A75" s="13"/>
      <c r="C75" s="10"/>
    </row>
    <row r="76" spans="1:11" x14ac:dyDescent="0.25">
      <c r="C76" s="10"/>
    </row>
    <row r="77" spans="1:11" x14ac:dyDescent="0.25">
      <c r="C77" s="10"/>
    </row>
    <row r="78" spans="1:11" x14ac:dyDescent="0.25">
      <c r="C78" s="10"/>
    </row>
    <row r="79" spans="1:11" x14ac:dyDescent="0.25">
      <c r="C79" s="10"/>
    </row>
    <row r="80" spans="1:11" x14ac:dyDescent="0.25"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84" spans="3:3" x14ac:dyDescent="0.25">
      <c r="C84" s="10"/>
    </row>
    <row r="85" spans="3:3" x14ac:dyDescent="0.25">
      <c r="C85" s="10"/>
    </row>
    <row r="86" spans="3:3" x14ac:dyDescent="0.25">
      <c r="C86" s="10"/>
    </row>
    <row r="87" spans="3:3" x14ac:dyDescent="0.25">
      <c r="C87" s="10"/>
    </row>
    <row r="88" spans="3:3" x14ac:dyDescent="0.25">
      <c r="C88" s="10"/>
    </row>
    <row r="89" spans="3:3" x14ac:dyDescent="0.25">
      <c r="C89" s="10"/>
    </row>
    <row r="90" spans="3:3" x14ac:dyDescent="0.25">
      <c r="C90" s="10"/>
    </row>
    <row r="91" spans="3:3" x14ac:dyDescent="0.25">
      <c r="C91" s="10"/>
    </row>
    <row r="1048557" spans="1:21" s="10" customFormat="1" x14ac:dyDescent="0.25">
      <c r="A1048557" s="9"/>
      <c r="B1048557" s="9"/>
      <c r="C1048557" s="9"/>
      <c r="D1048557" s="9"/>
      <c r="F1048557" s="9"/>
      <c r="H1048557" s="9"/>
      <c r="L1048557" s="9"/>
      <c r="M1048557" s="9"/>
      <c r="N1048557" s="9"/>
      <c r="O1048557" s="9"/>
      <c r="P1048557" s="9"/>
      <c r="Q1048557" s="9"/>
      <c r="R1048557" s="9"/>
      <c r="S1048557" s="9"/>
      <c r="T1048557" s="9"/>
      <c r="U1048557" s="9"/>
    </row>
  </sheetData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666BE-7BC2-4F27-B4FB-10A7FFF89C4F}">
  <dimension ref="A1:U1048557"/>
  <sheetViews>
    <sheetView tabSelected="1" workbookViewId="0">
      <pane ySplit="3" topLeftCell="A4" activePane="bottomLeft" state="frozen"/>
      <selection activeCell="K26" activeCellId="1" sqref="K29:K30 K26"/>
      <selection pane="bottomLeft" activeCell="A12" sqref="A12"/>
    </sheetView>
  </sheetViews>
  <sheetFormatPr baseColWidth="10" defaultColWidth="10.7109375" defaultRowHeight="15" x14ac:dyDescent="0.25"/>
  <cols>
    <col min="1" max="1" width="22.7109375" style="9" customWidth="1"/>
    <col min="2" max="2" width="59.7109375" style="9" customWidth="1"/>
    <col min="3" max="3" width="22.42578125" style="9" customWidth="1"/>
    <col min="4" max="4" width="37.5703125" style="9" customWidth="1"/>
    <col min="5" max="5" width="10.7109375" style="10"/>
    <col min="6" max="6" width="6.140625" style="9" customWidth="1"/>
    <col min="7" max="7" width="32.28515625" style="10" customWidth="1"/>
    <col min="8" max="8" width="27.28515625" style="9" customWidth="1"/>
    <col min="9" max="9" width="18" style="10" customWidth="1"/>
    <col min="10" max="10" width="21.5703125" style="9" customWidth="1"/>
    <col min="11" max="11" width="12.7109375" style="10" customWidth="1"/>
    <col min="12" max="16384" width="10.7109375" style="9"/>
  </cols>
  <sheetData>
    <row r="1" spans="1:11" s="11" customFormat="1" x14ac:dyDescent="0.25">
      <c r="A1" s="11" t="s">
        <v>0</v>
      </c>
      <c r="E1" s="12"/>
      <c r="G1" s="12"/>
      <c r="I1" s="12"/>
    </row>
    <row r="3" spans="1:11" s="11" customFormat="1" x14ac:dyDescent="0.25">
      <c r="A3" s="11" t="s">
        <v>1</v>
      </c>
      <c r="B3" s="11" t="s">
        <v>3</v>
      </c>
      <c r="C3" s="11" t="s">
        <v>2</v>
      </c>
      <c r="D3" s="11" t="s">
        <v>32</v>
      </c>
      <c r="E3" s="12" t="s">
        <v>4</v>
      </c>
      <c r="G3" s="12" t="s">
        <v>11</v>
      </c>
      <c r="H3" s="11" t="s">
        <v>8</v>
      </c>
      <c r="I3" s="12" t="s">
        <v>9</v>
      </c>
      <c r="J3" s="11" t="s">
        <v>64</v>
      </c>
      <c r="K3" s="29" t="s">
        <v>1382</v>
      </c>
    </row>
    <row r="4" spans="1:11" x14ac:dyDescent="0.25">
      <c r="A4" s="27" t="s">
        <v>1509</v>
      </c>
      <c r="B4" s="5" t="s">
        <v>1313</v>
      </c>
      <c r="C4" s="5" t="s">
        <v>27</v>
      </c>
      <c r="D4" s="5" t="s">
        <v>1510</v>
      </c>
      <c r="E4" s="4">
        <v>1950</v>
      </c>
      <c r="F4" s="5"/>
      <c r="G4" s="4" t="s">
        <v>246</v>
      </c>
      <c r="H4" s="28" t="s">
        <v>1509</v>
      </c>
      <c r="I4" s="4">
        <v>1000</v>
      </c>
      <c r="J4" s="4" t="s">
        <v>66</v>
      </c>
      <c r="K4" s="4">
        <f t="shared" ref="K4:K29" si="0">E4-I4</f>
        <v>950</v>
      </c>
    </row>
    <row r="5" spans="1:11" x14ac:dyDescent="0.25">
      <c r="A5" s="5" t="s">
        <v>1509</v>
      </c>
      <c r="B5" s="5" t="s">
        <v>1511</v>
      </c>
      <c r="C5" s="5" t="s">
        <v>27</v>
      </c>
      <c r="D5" s="5" t="s">
        <v>1085</v>
      </c>
      <c r="E5" s="4">
        <v>6050</v>
      </c>
      <c r="F5" s="5"/>
      <c r="G5" s="4" t="s">
        <v>1512</v>
      </c>
      <c r="H5" s="28" t="s">
        <v>1509</v>
      </c>
      <c r="I5" s="4">
        <v>5264</v>
      </c>
      <c r="J5" s="4" t="s">
        <v>37</v>
      </c>
      <c r="K5" s="4">
        <f t="shared" si="0"/>
        <v>786</v>
      </c>
    </row>
    <row r="6" spans="1:11" x14ac:dyDescent="0.25">
      <c r="A6" s="9" t="s">
        <v>1509</v>
      </c>
      <c r="B6" s="9" t="s">
        <v>1517</v>
      </c>
      <c r="C6" s="9" t="s">
        <v>27</v>
      </c>
      <c r="D6" s="9" t="s">
        <v>1085</v>
      </c>
      <c r="E6" s="10">
        <v>2880</v>
      </c>
      <c r="G6" s="10" t="s">
        <v>1502</v>
      </c>
      <c r="H6" s="30" t="s">
        <v>1509</v>
      </c>
      <c r="I6" s="10">
        <v>1350</v>
      </c>
      <c r="J6" s="10" t="s">
        <v>37</v>
      </c>
      <c r="K6" s="10">
        <f t="shared" si="0"/>
        <v>1530</v>
      </c>
    </row>
    <row r="7" spans="1:11" x14ac:dyDescent="0.25">
      <c r="A7" s="5" t="s">
        <v>1509</v>
      </c>
      <c r="B7" s="5" t="s">
        <v>1513</v>
      </c>
      <c r="C7" s="5" t="s">
        <v>27</v>
      </c>
      <c r="D7" s="5" t="s">
        <v>1085</v>
      </c>
      <c r="E7" s="4">
        <v>3200</v>
      </c>
      <c r="F7" s="5"/>
      <c r="G7" s="4" t="s">
        <v>246</v>
      </c>
      <c r="H7" s="28" t="s">
        <v>1514</v>
      </c>
      <c r="I7" s="4">
        <v>1600</v>
      </c>
      <c r="J7" s="4" t="s">
        <v>37</v>
      </c>
      <c r="K7" s="4">
        <f t="shared" si="0"/>
        <v>1600</v>
      </c>
    </row>
    <row r="8" spans="1:11" x14ac:dyDescent="0.25">
      <c r="A8" s="5" t="s">
        <v>1515</v>
      </c>
      <c r="B8" s="5" t="s">
        <v>1516</v>
      </c>
      <c r="C8" s="5" t="s">
        <v>27</v>
      </c>
      <c r="D8" s="5" t="s">
        <v>1085</v>
      </c>
      <c r="E8" s="4">
        <v>1600</v>
      </c>
      <c r="F8" s="5"/>
      <c r="G8" s="4" t="s">
        <v>542</v>
      </c>
      <c r="H8" s="28" t="s">
        <v>1514</v>
      </c>
      <c r="I8" s="4">
        <v>800</v>
      </c>
      <c r="J8" s="4" t="s">
        <v>912</v>
      </c>
      <c r="K8" s="4">
        <f t="shared" si="0"/>
        <v>800</v>
      </c>
    </row>
    <row r="9" spans="1:11" x14ac:dyDescent="0.25">
      <c r="A9" s="9" t="s">
        <v>1518</v>
      </c>
      <c r="B9" s="9" t="s">
        <v>1519</v>
      </c>
      <c r="C9" s="9" t="s">
        <v>27</v>
      </c>
      <c r="D9" s="9" t="s">
        <v>1085</v>
      </c>
      <c r="E9" s="10">
        <v>5000</v>
      </c>
      <c r="G9" s="10" t="s">
        <v>1520</v>
      </c>
      <c r="H9" s="10" t="s">
        <v>1518</v>
      </c>
      <c r="I9" s="10">
        <v>3000</v>
      </c>
      <c r="J9" s="10" t="s">
        <v>912</v>
      </c>
      <c r="K9" s="10">
        <f t="shared" si="0"/>
        <v>2000</v>
      </c>
    </row>
    <row r="10" spans="1:11" x14ac:dyDescent="0.25">
      <c r="A10" s="9" t="s">
        <v>1518</v>
      </c>
      <c r="B10" s="9" t="s">
        <v>1521</v>
      </c>
      <c r="C10" s="9" t="s">
        <v>27</v>
      </c>
      <c r="D10" s="9" t="s">
        <v>1085</v>
      </c>
      <c r="H10" s="10"/>
      <c r="J10" s="10"/>
      <c r="K10" s="10">
        <f t="shared" si="0"/>
        <v>0</v>
      </c>
    </row>
    <row r="11" spans="1:11" x14ac:dyDescent="0.25">
      <c r="A11" s="9" t="s">
        <v>1518</v>
      </c>
      <c r="B11" s="9" t="s">
        <v>1522</v>
      </c>
      <c r="H11" s="10"/>
      <c r="J11" s="10"/>
      <c r="K11" s="10">
        <f t="shared" si="0"/>
        <v>0</v>
      </c>
    </row>
    <row r="12" spans="1:11" x14ac:dyDescent="0.25">
      <c r="H12" s="10"/>
      <c r="J12" s="10"/>
      <c r="K12" s="10">
        <f t="shared" si="0"/>
        <v>0</v>
      </c>
    </row>
    <row r="13" spans="1:11" x14ac:dyDescent="0.25">
      <c r="A13" s="31"/>
      <c r="H13" s="10"/>
      <c r="J13" s="10"/>
    </row>
    <row r="14" spans="1:11" x14ac:dyDescent="0.25">
      <c r="H14" s="10"/>
      <c r="J14" s="10"/>
    </row>
    <row r="15" spans="1:11" x14ac:dyDescent="0.25">
      <c r="H15" s="10"/>
      <c r="J15" s="10"/>
    </row>
    <row r="16" spans="1:11" x14ac:dyDescent="0.25">
      <c r="H16" s="10"/>
      <c r="J16" s="10"/>
    </row>
    <row r="17" spans="5:11" x14ac:dyDescent="0.25">
      <c r="H17" s="10"/>
      <c r="J17" s="10"/>
    </row>
    <row r="18" spans="5:11" x14ac:dyDescent="0.25">
      <c r="H18" s="10"/>
      <c r="J18" s="10"/>
    </row>
    <row r="19" spans="5:11" x14ac:dyDescent="0.25">
      <c r="H19" s="10"/>
      <c r="J19" s="10"/>
    </row>
    <row r="20" spans="5:11" x14ac:dyDescent="0.25">
      <c r="H20" s="10"/>
      <c r="J20" s="10"/>
    </row>
    <row r="21" spans="5:11" x14ac:dyDescent="0.25">
      <c r="H21" s="10"/>
      <c r="J21" s="10"/>
    </row>
    <row r="22" spans="5:11" x14ac:dyDescent="0.25">
      <c r="H22" s="10"/>
      <c r="J22" s="10"/>
    </row>
    <row r="23" spans="5:11" x14ac:dyDescent="0.25">
      <c r="F23" s="16"/>
    </row>
    <row r="24" spans="5:11" x14ac:dyDescent="0.25">
      <c r="F24" s="16"/>
    </row>
    <row r="25" spans="5:11" x14ac:dyDescent="0.25">
      <c r="F25" s="16"/>
      <c r="H25" s="10"/>
      <c r="J25" s="10"/>
    </row>
    <row r="26" spans="5:11" x14ac:dyDescent="0.25">
      <c r="F26" s="16"/>
      <c r="J26" s="10"/>
    </row>
    <row r="27" spans="5:11" x14ac:dyDescent="0.25">
      <c r="F27" s="16"/>
      <c r="J27" s="10"/>
    </row>
    <row r="28" spans="5:11" x14ac:dyDescent="0.25">
      <c r="F28" s="16"/>
      <c r="J28" s="10"/>
    </row>
    <row r="29" spans="5:11" x14ac:dyDescent="0.25">
      <c r="F29" s="16"/>
      <c r="J29" s="10"/>
      <c r="K29" s="10">
        <f t="shared" si="0"/>
        <v>0</v>
      </c>
    </row>
    <row r="30" spans="5:11" x14ac:dyDescent="0.25">
      <c r="F30" s="16"/>
      <c r="J30" s="10"/>
    </row>
    <row r="31" spans="5:11" x14ac:dyDescent="0.25">
      <c r="F31" s="16"/>
      <c r="J31" s="10"/>
    </row>
    <row r="32" spans="5:11" s="11" customFormat="1" x14ac:dyDescent="0.25">
      <c r="E32" s="12"/>
      <c r="F32" s="17"/>
      <c r="G32" s="12"/>
      <c r="I32" s="12"/>
      <c r="K32" s="12"/>
    </row>
    <row r="33" spans="1:21" x14ac:dyDescent="0.25">
      <c r="F33" s="16"/>
    </row>
    <row r="34" spans="1:21" x14ac:dyDescent="0.25">
      <c r="A34" s="21" t="s">
        <v>1475</v>
      </c>
      <c r="B34" s="21" t="s">
        <v>1062</v>
      </c>
      <c r="C34" s="22">
        <v>3500</v>
      </c>
      <c r="H34" s="10"/>
      <c r="J34" s="10"/>
    </row>
    <row r="35" spans="1:21" s="10" customFormat="1" x14ac:dyDescent="0.25">
      <c r="A35" s="19" t="s">
        <v>1475</v>
      </c>
      <c r="B35" s="19" t="s">
        <v>1063</v>
      </c>
      <c r="C35" s="20">
        <v>4000</v>
      </c>
      <c r="D35" s="9"/>
      <c r="F35" s="16"/>
      <c r="H35" s="9"/>
      <c r="J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s="10" customFormat="1" x14ac:dyDescent="0.25">
      <c r="A36" s="21" t="s">
        <v>1476</v>
      </c>
      <c r="B36" s="21" t="s">
        <v>1062</v>
      </c>
      <c r="C36" s="22">
        <v>3500</v>
      </c>
      <c r="D36" s="9"/>
      <c r="F36" s="16"/>
      <c r="H36" s="9"/>
      <c r="J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s="10" customFormat="1" x14ac:dyDescent="0.25">
      <c r="A37" s="19" t="s">
        <v>1476</v>
      </c>
      <c r="B37" s="19" t="s">
        <v>1063</v>
      </c>
      <c r="C37" s="20">
        <v>4000</v>
      </c>
      <c r="D37" s="9"/>
      <c r="F37" s="16"/>
      <c r="H37" s="16"/>
      <c r="J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s="10" customFormat="1" x14ac:dyDescent="0.25">
      <c r="A38" s="19" t="s">
        <v>1476</v>
      </c>
      <c r="B38" s="19" t="s">
        <v>1292</v>
      </c>
      <c r="C38" s="20">
        <v>1500</v>
      </c>
      <c r="D38" s="9"/>
      <c r="F38" s="16"/>
      <c r="H38" s="16"/>
      <c r="J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s="10" customFormat="1" x14ac:dyDescent="0.25">
      <c r="A39" s="19" t="s">
        <v>1476</v>
      </c>
      <c r="B39" s="19" t="s">
        <v>206</v>
      </c>
      <c r="C39" s="20">
        <v>6600</v>
      </c>
      <c r="D39" s="9"/>
      <c r="F39" s="9"/>
      <c r="H39" s="9"/>
      <c r="J39" s="9"/>
    </row>
    <row r="40" spans="1:21" s="10" customFormat="1" x14ac:dyDescent="0.25">
      <c r="A40" s="19" t="s">
        <v>1476</v>
      </c>
      <c r="B40" s="19" t="s">
        <v>648</v>
      </c>
      <c r="C40" s="20">
        <v>1000</v>
      </c>
      <c r="D40" s="9"/>
      <c r="F40" s="9"/>
      <c r="H40" s="9"/>
      <c r="J40" s="9"/>
    </row>
    <row r="41" spans="1:21" s="10" customFormat="1" x14ac:dyDescent="0.25">
      <c r="A41" s="19" t="s">
        <v>1476</v>
      </c>
      <c r="B41" s="19" t="s">
        <v>1026</v>
      </c>
      <c r="C41" s="20">
        <v>1500</v>
      </c>
      <c r="D41" s="9"/>
      <c r="F41" s="9"/>
      <c r="H41" s="9"/>
      <c r="J41" s="9"/>
    </row>
    <row r="42" spans="1:21" s="10" customFormat="1" x14ac:dyDescent="0.25">
      <c r="A42" s="19" t="s">
        <v>1476</v>
      </c>
      <c r="B42" s="9" t="s">
        <v>72</v>
      </c>
      <c r="C42" s="10">
        <v>550</v>
      </c>
      <c r="D42" s="9"/>
      <c r="F42" s="9"/>
      <c r="H42" s="9"/>
      <c r="J42" s="9"/>
    </row>
    <row r="43" spans="1:21" s="10" customFormat="1" x14ac:dyDescent="0.25">
      <c r="A43" s="19" t="s">
        <v>1476</v>
      </c>
      <c r="B43" s="9" t="s">
        <v>1477</v>
      </c>
      <c r="C43" s="10">
        <v>3000</v>
      </c>
      <c r="D43" s="9"/>
      <c r="F43" s="9"/>
      <c r="H43" s="9"/>
      <c r="J43" s="9"/>
    </row>
    <row r="44" spans="1:21" s="10" customFormat="1" x14ac:dyDescent="0.25">
      <c r="A44" s="19"/>
      <c r="B44" s="19"/>
      <c r="C44" s="20"/>
      <c r="D44" s="9"/>
      <c r="F44" s="9"/>
      <c r="H44" s="9"/>
      <c r="J44" s="9"/>
    </row>
    <row r="45" spans="1:21" s="10" customFormat="1" x14ac:dyDescent="0.25">
      <c r="A45" s="9"/>
      <c r="B45" s="19"/>
      <c r="C45" s="20"/>
      <c r="D45" s="9"/>
      <c r="F45" s="9"/>
      <c r="H45" s="9"/>
      <c r="J45" s="9"/>
    </row>
    <row r="46" spans="1:21" s="10" customFormat="1" x14ac:dyDescent="0.25">
      <c r="A46" s="9"/>
      <c r="B46" s="9"/>
      <c r="D46" s="9"/>
      <c r="F46" s="9"/>
      <c r="H46" s="9"/>
      <c r="J46" s="9"/>
    </row>
    <row r="47" spans="1:21" s="10" customFormat="1" x14ac:dyDescent="0.25">
      <c r="A47" s="9"/>
      <c r="B47" s="9"/>
      <c r="D47" s="9"/>
      <c r="F47" s="9"/>
    </row>
    <row r="48" spans="1:21" s="10" customFormat="1" x14ac:dyDescent="0.25">
      <c r="A48" s="9"/>
      <c r="B48" s="9"/>
      <c r="D48" s="9"/>
      <c r="F48" s="9"/>
    </row>
    <row r="49" spans="1:10" s="10" customFormat="1" x14ac:dyDescent="0.25">
      <c r="A49" s="9"/>
      <c r="B49" s="9"/>
      <c r="D49" s="9"/>
      <c r="F49" s="9"/>
    </row>
    <row r="50" spans="1:10" s="10" customFormat="1" x14ac:dyDescent="0.25">
      <c r="A50" s="9"/>
      <c r="B50" s="9"/>
      <c r="D50" s="9"/>
      <c r="F50" s="9"/>
    </row>
    <row r="51" spans="1:10" s="10" customFormat="1" x14ac:dyDescent="0.25">
      <c r="A51" s="9"/>
      <c r="B51" s="9"/>
      <c r="C51" s="9"/>
      <c r="D51" s="9"/>
      <c r="F51" s="9"/>
    </row>
    <row r="52" spans="1:10" s="10" customFormat="1" x14ac:dyDescent="0.25"/>
    <row r="53" spans="1:10" s="10" customFormat="1" x14ac:dyDescent="0.25"/>
    <row r="54" spans="1:10" s="10" customFormat="1" x14ac:dyDescent="0.25"/>
    <row r="55" spans="1:10" s="10" customFormat="1" x14ac:dyDescent="0.25"/>
    <row r="56" spans="1:10" s="10" customFormat="1" x14ac:dyDescent="0.25"/>
    <row r="57" spans="1:10" s="10" customFormat="1" x14ac:dyDescent="0.25"/>
    <row r="58" spans="1:10" s="10" customFormat="1" x14ac:dyDescent="0.25"/>
    <row r="59" spans="1:10" s="10" customFormat="1" x14ac:dyDescent="0.25">
      <c r="H59" s="9"/>
      <c r="J59" s="9"/>
    </row>
    <row r="60" spans="1:10" s="10" customFormat="1" x14ac:dyDescent="0.25">
      <c r="H60" s="9"/>
      <c r="J60" s="9"/>
    </row>
    <row r="61" spans="1:10" s="10" customFormat="1" x14ac:dyDescent="0.25">
      <c r="H61" s="9"/>
      <c r="J61" s="9"/>
    </row>
    <row r="62" spans="1:10" s="10" customFormat="1" x14ac:dyDescent="0.25">
      <c r="H62" s="9"/>
      <c r="J62" s="9"/>
    </row>
    <row r="63" spans="1:10" s="10" customFormat="1" x14ac:dyDescent="0.25">
      <c r="H63" s="9"/>
      <c r="J63" s="9"/>
    </row>
    <row r="64" spans="1:10" s="10" customFormat="1" x14ac:dyDescent="0.25">
      <c r="H64" s="9"/>
      <c r="J64" s="9"/>
    </row>
    <row r="65" spans="1:11" s="10" customFormat="1" x14ac:dyDescent="0.25">
      <c r="H65" s="9"/>
      <c r="J65" s="9"/>
    </row>
    <row r="66" spans="1:11" s="10" customFormat="1" x14ac:dyDescent="0.25">
      <c r="H66" s="9"/>
      <c r="J66" s="9"/>
    </row>
    <row r="67" spans="1:11" s="10" customFormat="1" x14ac:dyDescent="0.25">
      <c r="H67" s="9"/>
      <c r="J67" s="9"/>
    </row>
    <row r="68" spans="1:11" s="10" customFormat="1" x14ac:dyDescent="0.25">
      <c r="H68" s="9"/>
      <c r="J68" s="9"/>
    </row>
    <row r="69" spans="1:11" s="10" customFormat="1" x14ac:dyDescent="0.25">
      <c r="H69" s="9"/>
      <c r="J69" s="9"/>
    </row>
    <row r="70" spans="1:11" s="10" customFormat="1" x14ac:dyDescent="0.25">
      <c r="H70" s="9"/>
      <c r="J70" s="9"/>
    </row>
    <row r="71" spans="1:11" s="10" customFormat="1" x14ac:dyDescent="0.25">
      <c r="H71" s="9"/>
      <c r="J71" s="9"/>
    </row>
    <row r="72" spans="1:11" s="10" customFormat="1" x14ac:dyDescent="0.25">
      <c r="H72" s="9"/>
      <c r="J72" s="9"/>
    </row>
    <row r="73" spans="1:11" s="11" customFormat="1" x14ac:dyDescent="0.25">
      <c r="C73" s="12"/>
      <c r="E73" s="12"/>
      <c r="G73" s="12"/>
      <c r="I73" s="12"/>
      <c r="K73" s="12"/>
    </row>
    <row r="74" spans="1:11" x14ac:dyDescent="0.25">
      <c r="C74" s="10"/>
    </row>
    <row r="75" spans="1:11" x14ac:dyDescent="0.25">
      <c r="A75" s="13"/>
      <c r="C75" s="10"/>
    </row>
    <row r="76" spans="1:11" x14ac:dyDescent="0.25">
      <c r="C76" s="10"/>
    </row>
    <row r="77" spans="1:11" x14ac:dyDescent="0.25">
      <c r="C77" s="10"/>
    </row>
    <row r="78" spans="1:11" x14ac:dyDescent="0.25">
      <c r="C78" s="10"/>
    </row>
    <row r="79" spans="1:11" x14ac:dyDescent="0.25">
      <c r="C79" s="10"/>
    </row>
    <row r="80" spans="1:11" x14ac:dyDescent="0.25">
      <c r="C80" s="10"/>
    </row>
    <row r="81" spans="3:3" x14ac:dyDescent="0.25">
      <c r="C81" s="10"/>
    </row>
    <row r="82" spans="3:3" x14ac:dyDescent="0.25">
      <c r="C82" s="10"/>
    </row>
    <row r="83" spans="3:3" x14ac:dyDescent="0.25">
      <c r="C83" s="10"/>
    </row>
    <row r="84" spans="3:3" x14ac:dyDescent="0.25">
      <c r="C84" s="10"/>
    </row>
    <row r="85" spans="3:3" x14ac:dyDescent="0.25">
      <c r="C85" s="10"/>
    </row>
    <row r="86" spans="3:3" x14ac:dyDescent="0.25">
      <c r="C86" s="10"/>
    </row>
    <row r="87" spans="3:3" x14ac:dyDescent="0.25">
      <c r="C87" s="10"/>
    </row>
    <row r="88" spans="3:3" x14ac:dyDescent="0.25">
      <c r="C88" s="10"/>
    </row>
    <row r="89" spans="3:3" x14ac:dyDescent="0.25">
      <c r="C89" s="10"/>
    </row>
    <row r="90" spans="3:3" x14ac:dyDescent="0.25">
      <c r="C90" s="10"/>
    </row>
    <row r="91" spans="3:3" x14ac:dyDescent="0.25">
      <c r="C91" s="10"/>
    </row>
    <row r="1048557" spans="1:21" s="10" customFormat="1" x14ac:dyDescent="0.25">
      <c r="A1048557" s="9"/>
      <c r="B1048557" s="9"/>
      <c r="C1048557" s="9"/>
      <c r="D1048557" s="9"/>
      <c r="F1048557" s="9"/>
      <c r="H1048557" s="9"/>
      <c r="L1048557" s="9"/>
      <c r="M1048557" s="9"/>
      <c r="N1048557" s="9"/>
      <c r="O1048557" s="9"/>
      <c r="P1048557" s="9"/>
      <c r="Q1048557" s="9"/>
      <c r="R1048557" s="9"/>
      <c r="S1048557" s="9"/>
      <c r="T1048557" s="9"/>
      <c r="U1048557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38</vt:i4>
      </vt:variant>
    </vt:vector>
  </HeadingPairs>
  <TitlesOfParts>
    <vt:vector size="38" baseType="lpstr">
      <vt:lpstr>Enero 2023</vt:lpstr>
      <vt:lpstr>Febrero 2023</vt:lpstr>
      <vt:lpstr>Marzo 2023</vt:lpstr>
      <vt:lpstr>Abril 2023</vt:lpstr>
      <vt:lpstr>Junio 2023</vt:lpstr>
      <vt:lpstr>Julio 2023</vt:lpstr>
      <vt:lpstr>Agosto 2023</vt:lpstr>
      <vt:lpstr>Septiembre 2023</vt:lpstr>
      <vt:lpstr>Octubre 2023</vt:lpstr>
      <vt:lpstr>Noviembre 2023</vt:lpstr>
      <vt:lpstr>Diciembre 2023</vt:lpstr>
      <vt:lpstr>Enero 2024</vt:lpstr>
      <vt:lpstr>Febrero 2024</vt:lpstr>
      <vt:lpstr>Marzo 2024</vt:lpstr>
      <vt:lpstr>Abril 2024</vt:lpstr>
      <vt:lpstr>Mayo 2024</vt:lpstr>
      <vt:lpstr>Junio 2024</vt:lpstr>
      <vt:lpstr>Julio 2024</vt:lpstr>
      <vt:lpstr>Agosto 2024</vt:lpstr>
      <vt:lpstr>Septiembre 2024</vt:lpstr>
      <vt:lpstr>Octubre 2024</vt:lpstr>
      <vt:lpstr>Noviembre 2024</vt:lpstr>
      <vt:lpstr>Diciembre 2024</vt:lpstr>
      <vt:lpstr>Enero 2025</vt:lpstr>
      <vt:lpstr>FEBRERO 2025</vt:lpstr>
      <vt:lpstr>Marzo 2025</vt:lpstr>
      <vt:lpstr>Abril 2025</vt:lpstr>
      <vt:lpstr>Mayo 2025</vt:lpstr>
      <vt:lpstr>Junio 2025</vt:lpstr>
      <vt:lpstr>Julio 2025</vt:lpstr>
      <vt:lpstr>Agosto 2025</vt:lpstr>
      <vt:lpstr>Septiembre 2025</vt:lpstr>
      <vt:lpstr>Octubre 2025</vt:lpstr>
      <vt:lpstr>Noviembre 2025</vt:lpstr>
      <vt:lpstr>Diciembre 2025</vt:lpstr>
      <vt:lpstr>Enero 2026</vt:lpstr>
      <vt:lpstr>Febrero 2026</vt:lpstr>
      <vt:lpstr>Marzo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</cp:lastModifiedBy>
  <dcterms:created xsi:type="dcterms:W3CDTF">2023-01-17T20:20:11Z</dcterms:created>
  <dcterms:modified xsi:type="dcterms:W3CDTF">2026-03-18T19:28:04Z</dcterms:modified>
</cp:coreProperties>
</file>